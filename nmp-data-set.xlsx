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lab1\Desktop\nmp-c-phase\audio-speqs-rstudio\"/>
    </mc:Choice>
  </mc:AlternateContent>
  <xr:revisionPtr revIDLastSave="0" documentId="13_ncr:1_{F43EA8E5-B514-4127-80CB-6A3337FB9662}" xr6:coauthVersionLast="46" xr6:coauthVersionMax="46" xr10:uidLastSave="{00000000-0000-0000-0000-000000000000}"/>
  <bookViews>
    <workbookView xWindow="-120" yWindow="-120" windowWidth="29040" windowHeight="15840" tabRatio="818" xr2:uid="{00000000-000D-0000-FFFF-FFFF00000000}"/>
  </bookViews>
  <sheets>
    <sheet name="#1#2" sheetId="1" r:id="rId1"/>
    <sheet name="#3#4" sheetId="12" r:id="rId2"/>
    <sheet name="#5#6" sheetId="13" r:id="rId3"/>
    <sheet name="#7#8" sheetId="14" r:id="rId4"/>
    <sheet name="#9#10" sheetId="15" r:id="rId5"/>
    <sheet name="#11#12" sheetId="16" r:id="rId6"/>
    <sheet name="#13#14" sheetId="17" r:id="rId7"/>
    <sheet name="#15#16" sheetId="18" r:id="rId8"/>
    <sheet name="#17#18" sheetId="19" r:id="rId9"/>
    <sheet name="#19#20" sheetId="20" r:id="rId10"/>
    <sheet name="#21#22" sheetId="2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3" i="12" l="1"/>
  <c r="H13" i="12"/>
  <c r="I13" i="12"/>
  <c r="J13" i="12"/>
  <c r="K13" i="12"/>
  <c r="L13" i="12"/>
  <c r="G13" i="1" l="1"/>
  <c r="L24" i="21" l="1"/>
  <c r="K24" i="21"/>
  <c r="J24" i="21"/>
  <c r="I24" i="21"/>
  <c r="H24" i="21"/>
  <c r="G24" i="21"/>
  <c r="L24" i="20"/>
  <c r="K24" i="20"/>
  <c r="J24" i="20"/>
  <c r="I24" i="20"/>
  <c r="H24" i="20"/>
  <c r="G24" i="20"/>
  <c r="L24" i="19"/>
  <c r="K24" i="19"/>
  <c r="J24" i="19"/>
  <c r="I24" i="19"/>
  <c r="H24" i="19"/>
  <c r="G24" i="19"/>
  <c r="L24" i="18"/>
  <c r="K24" i="18"/>
  <c r="J24" i="18"/>
  <c r="I24" i="18"/>
  <c r="H24" i="18"/>
  <c r="G24" i="18"/>
  <c r="L24" i="17"/>
  <c r="K24" i="17"/>
  <c r="J24" i="17"/>
  <c r="I24" i="17"/>
  <c r="H24" i="17"/>
  <c r="G24" i="17"/>
  <c r="L24" i="16"/>
  <c r="K24" i="16"/>
  <c r="J24" i="16"/>
  <c r="I24" i="16"/>
  <c r="H24" i="16"/>
  <c r="G24" i="16"/>
  <c r="L24" i="15"/>
  <c r="K24" i="15"/>
  <c r="J24" i="15"/>
  <c r="I24" i="15"/>
  <c r="H24" i="15"/>
  <c r="G24" i="15"/>
  <c r="L24" i="14"/>
  <c r="K24" i="14"/>
  <c r="J24" i="14"/>
  <c r="I24" i="14"/>
  <c r="H24" i="14"/>
  <c r="G24" i="14"/>
  <c r="L24" i="13"/>
  <c r="K24" i="13"/>
  <c r="J24" i="13"/>
  <c r="I24" i="13"/>
  <c r="H24" i="13"/>
  <c r="G24" i="13"/>
  <c r="L24" i="12"/>
  <c r="K24" i="12"/>
  <c r="J24" i="12"/>
  <c r="I24" i="12"/>
  <c r="H24" i="12"/>
  <c r="G24" i="12"/>
  <c r="L13" i="21"/>
  <c r="K13" i="21"/>
  <c r="J13" i="21"/>
  <c r="I13" i="21"/>
  <c r="H13" i="21"/>
  <c r="G13" i="21"/>
  <c r="L13" i="20"/>
  <c r="K13" i="20"/>
  <c r="J13" i="20"/>
  <c r="I13" i="20"/>
  <c r="H13" i="20"/>
  <c r="G13" i="20"/>
  <c r="L13" i="19"/>
  <c r="K13" i="19"/>
  <c r="J13" i="19"/>
  <c r="I13" i="19"/>
  <c r="H13" i="19"/>
  <c r="G13" i="19"/>
  <c r="L13" i="18"/>
  <c r="K13" i="18"/>
  <c r="J13" i="18"/>
  <c r="I13" i="18"/>
  <c r="H13" i="18"/>
  <c r="G13" i="18"/>
  <c r="L13" i="17"/>
  <c r="K13" i="17"/>
  <c r="J13" i="17"/>
  <c r="I13" i="17"/>
  <c r="H13" i="17"/>
  <c r="G13" i="17"/>
  <c r="L13" i="16"/>
  <c r="K13" i="16"/>
  <c r="J13" i="16"/>
  <c r="I13" i="16"/>
  <c r="H13" i="16"/>
  <c r="G13" i="16"/>
  <c r="L13" i="15"/>
  <c r="K13" i="15"/>
  <c r="J13" i="15"/>
  <c r="I13" i="15"/>
  <c r="H13" i="15"/>
  <c r="G13" i="15"/>
  <c r="L13" i="14"/>
  <c r="K13" i="14"/>
  <c r="J13" i="14"/>
  <c r="I13" i="14"/>
  <c r="H13" i="14"/>
  <c r="G13" i="14"/>
  <c r="L13" i="13"/>
  <c r="K13" i="13"/>
  <c r="J13" i="13"/>
  <c r="I13" i="13"/>
  <c r="H13" i="13"/>
  <c r="G13" i="13"/>
  <c r="H24" i="1"/>
  <c r="I24" i="1"/>
  <c r="J24" i="1"/>
  <c r="K24" i="1"/>
  <c r="L24" i="1"/>
  <c r="G24" i="1"/>
  <c r="H13" i="1"/>
  <c r="I13" i="1"/>
  <c r="J13" i="1"/>
  <c r="K13" i="1"/>
  <c r="L13" i="1"/>
</calcChain>
</file>

<file path=xl/sharedStrings.xml><?xml version="1.0" encoding="utf-8"?>
<sst xmlns="http://schemas.openxmlformats.org/spreadsheetml/2006/main" count="349" uniqueCount="65">
  <si>
    <t xml:space="preserve">undefined </t>
  </si>
  <si>
    <t>instrument</t>
  </si>
  <si>
    <t>entropy</t>
  </si>
  <si>
    <t>s flatness</t>
  </si>
  <si>
    <t>s kurtosis</t>
  </si>
  <si>
    <t>s skewness</t>
  </si>
  <si>
    <t>s centroid</t>
  </si>
  <si>
    <t>s spread</t>
  </si>
  <si>
    <t>piano</t>
  </si>
  <si>
    <t>santouri</t>
  </si>
  <si>
    <t>oud</t>
  </si>
  <si>
    <t>bass</t>
  </si>
  <si>
    <t>toumpeleki</t>
  </si>
  <si>
    <t>violin</t>
  </si>
  <si>
    <t>flute</t>
  </si>
  <si>
    <t>bouzouki</t>
  </si>
  <si>
    <t>PoSD</t>
  </si>
  <si>
    <t>PoSat</t>
  </si>
  <si>
    <t>PoAD</t>
  </si>
  <si>
    <t>Anxiety</t>
  </si>
  <si>
    <t>Irritation</t>
  </si>
  <si>
    <t>VorA</t>
  </si>
  <si>
    <t>TTF</t>
  </si>
  <si>
    <t xml:space="preserve"> </t>
  </si>
  <si>
    <t>average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</si>
  <si>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</si>
  <si>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</si>
  <si>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</si>
  <si>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</si>
  <si>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</si>
  <si>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</si>
  <si>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</si>
  <si>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</si>
  <si>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</si>
  <si>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</si>
  <si>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</si>
  <si>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</si>
  <si>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</si>
  <si>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</si>
  <si>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</si>
  <si>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</si>
  <si>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</si>
  <si>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</si>
  <si>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</si>
  <si>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</si>
  <si>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</si>
  <si>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</si>
  <si>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elec gtr</t>
  </si>
  <si>
    <t>lute</t>
  </si>
  <si>
    <t>ROOM 1</t>
  </si>
  <si>
    <t>ROOM 2</t>
  </si>
  <si>
    <t>hammond</t>
  </si>
  <si>
    <t>acoustic guitar</t>
  </si>
  <si>
    <t>######</t>
  </si>
  <si>
    <t>repetition</t>
  </si>
  <si>
    <t>delay ms</t>
  </si>
  <si>
    <t>mean tempo bpm</t>
  </si>
  <si>
    <t>Answers for Subjective Variables (1=very bad,  5=very good)</t>
  </si>
  <si>
    <t>Audio Features extracted from recordings</t>
  </si>
  <si>
    <t>Music Genre</t>
  </si>
  <si>
    <t>Folk</t>
  </si>
  <si>
    <t>Rock</t>
  </si>
  <si>
    <t>Funk</t>
  </si>
  <si>
    <t>Classic</t>
  </si>
  <si>
    <t>Musician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</si>
</sst>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1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2" borderId="0" xfId="0" applyFill="1"/>
    <xf numFmtId="0" fontId="0" fillId="2" borderId="0" xfId="0" applyFill="1" applyBorder="1"/>
    <xf numFmtId="0" fontId="0" fillId="0" borderId="5" xfId="0" applyBorder="1"/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1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/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0" borderId="11" xfId="0" applyFont="1" applyBorder="1" applyAlignment="1">
      <alignment horizontal="center" vertical="center" textRotation="90"/>
    </xf>
    <xf numFmtId="0" fontId="4" fillId="0" borderId="17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8" xfId="0" applyFont="1" applyBorder="1"/>
    <xf numFmtId="0" fontId="5" fillId="0" borderId="3" xfId="0" applyFont="1" applyBorder="1"/>
    <xf numFmtId="0" fontId="5" fillId="0" borderId="10" xfId="0" applyFont="1" applyBorder="1"/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abSelected="1" workbookViewId="0">
      <selection activeCell="A27" sqref="A27:XFD27"/>
    </sheetView>
  </sheetViews>
  <sheetFormatPr defaultRowHeight="15" x14ac:dyDescent="0.25"/>
  <cols>
    <col min="1" max="2" width="12.42578125" customWidth="1"/>
    <col min="3" max="3" width="12.5703125" customWidth="1"/>
    <col min="4" max="4" width="12.42578125" customWidth="1"/>
    <col min="6" max="6" width="19.42578125" style="9" customWidth="1"/>
    <col min="7" max="7" width="11.140625" customWidth="1"/>
    <col min="8" max="8" width="10.140625" customWidth="1"/>
    <col min="9" max="9" width="11" customWidth="1"/>
    <col min="10" max="10" width="12.7109375" customWidth="1"/>
    <col min="11" max="11" width="10.42578125" customWidth="1"/>
    <col min="12" max="12" width="11.85546875" customWidth="1"/>
  </cols>
  <sheetData>
    <row r="1" spans="1:23" ht="15.75" thickBot="1" x14ac:dyDescent="0.3">
      <c r="A1" s="8"/>
      <c r="B1" s="8"/>
      <c r="C1" s="8"/>
      <c r="D1" s="8"/>
      <c r="E1" s="8"/>
      <c r="G1" s="15" t="s">
        <v>58</v>
      </c>
      <c r="H1" s="20"/>
      <c r="I1" s="20"/>
      <c r="J1" s="20"/>
      <c r="K1" s="20"/>
      <c r="L1" s="21"/>
      <c r="M1" s="12" t="s">
        <v>57</v>
      </c>
      <c r="N1" s="13"/>
      <c r="O1" s="13"/>
      <c r="P1" s="13"/>
      <c r="Q1" s="13"/>
      <c r="R1" s="13"/>
      <c r="S1" s="14"/>
    </row>
    <row r="2" spans="1:23" ht="15.75" thickBot="1" x14ac:dyDescent="0.3">
      <c r="A2" s="8"/>
      <c r="B2" s="10" t="s">
        <v>64</v>
      </c>
      <c r="C2" s="10" t="s">
        <v>1</v>
      </c>
      <c r="D2" s="10" t="s">
        <v>54</v>
      </c>
      <c r="E2" s="10" t="s">
        <v>55</v>
      </c>
      <c r="F2" s="22" t="s">
        <v>56</v>
      </c>
      <c r="G2" s="23" t="s">
        <v>2</v>
      </c>
      <c r="H2" s="24" t="s">
        <v>3</v>
      </c>
      <c r="I2" s="24" t="s">
        <v>4</v>
      </c>
      <c r="J2" s="24" t="s">
        <v>5</v>
      </c>
      <c r="K2" s="24" t="s">
        <v>6</v>
      </c>
      <c r="L2" s="25" t="s">
        <v>7</v>
      </c>
      <c r="M2" s="23" t="s">
        <v>16</v>
      </c>
      <c r="N2" s="24" t="s">
        <v>17</v>
      </c>
      <c r="O2" s="24" t="s">
        <v>18</v>
      </c>
      <c r="P2" s="24" t="s">
        <v>19</v>
      </c>
      <c r="Q2" s="24" t="s">
        <v>20</v>
      </c>
      <c r="R2" s="24" t="s">
        <v>21</v>
      </c>
      <c r="S2" s="25" t="s">
        <v>22</v>
      </c>
    </row>
    <row r="3" spans="1:23" x14ac:dyDescent="0.25">
      <c r="A3" s="16" t="s">
        <v>50</v>
      </c>
      <c r="B3" s="65" t="s">
        <v>26</v>
      </c>
      <c r="C3" s="17" t="s">
        <v>8</v>
      </c>
      <c r="D3" s="19">
        <v>6</v>
      </c>
      <c r="E3" s="19">
        <v>0</v>
      </c>
      <c r="F3" s="51">
        <v>133.92519999999999</v>
      </c>
      <c r="G3" s="28">
        <v>0.93298999999999999</v>
      </c>
      <c r="H3" s="28">
        <v>0.47794999999999999</v>
      </c>
      <c r="I3" s="28">
        <v>3.2816000000000001</v>
      </c>
      <c r="J3" s="28">
        <v>1.2344999999999999</v>
      </c>
      <c r="K3" s="28">
        <v>5592.2191000000003</v>
      </c>
      <c r="L3" s="28">
        <v>6085.4435000000003</v>
      </c>
      <c r="M3" s="37">
        <v>3</v>
      </c>
      <c r="N3" s="37">
        <v>5</v>
      </c>
      <c r="O3" s="37">
        <v>3</v>
      </c>
      <c r="P3" s="37">
        <v>2</v>
      </c>
      <c r="Q3" s="37">
        <v>1</v>
      </c>
      <c r="R3" s="37">
        <v>5</v>
      </c>
      <c r="S3" s="37">
        <v>2</v>
      </c>
      <c r="T3" s="1"/>
      <c r="U3" s="1"/>
      <c r="V3" s="1"/>
      <c r="W3" s="1"/>
    </row>
    <row r="4" spans="1:23" x14ac:dyDescent="0.25">
      <c r="A4" s="16"/>
      <c r="B4" s="66"/>
      <c r="C4" s="17"/>
      <c r="D4" s="19">
        <v>1</v>
      </c>
      <c r="E4" s="19">
        <v>10</v>
      </c>
      <c r="F4" s="51">
        <v>141.31360000000001</v>
      </c>
      <c r="G4" s="19">
        <v>0.94379999999999997</v>
      </c>
      <c r="H4" s="19">
        <v>0.57023000000000001</v>
      </c>
      <c r="I4" s="19">
        <v>2.6825999999999999</v>
      </c>
      <c r="J4" s="19">
        <v>0.9738</v>
      </c>
      <c r="K4" s="19">
        <v>6092.8982999999998</v>
      </c>
      <c r="L4" s="19">
        <v>6441.9715999999999</v>
      </c>
      <c r="M4" s="18">
        <v>5</v>
      </c>
      <c r="N4" s="18">
        <v>5</v>
      </c>
      <c r="O4" s="18">
        <v>1</v>
      </c>
      <c r="P4" s="18">
        <v>1</v>
      </c>
      <c r="Q4" s="18">
        <v>1</v>
      </c>
      <c r="R4" s="18">
        <v>5</v>
      </c>
      <c r="S4" s="18">
        <v>1</v>
      </c>
      <c r="T4" s="1"/>
      <c r="U4" s="1"/>
      <c r="V4" s="1"/>
      <c r="W4" s="1"/>
    </row>
    <row r="5" spans="1:23" x14ac:dyDescent="0.25">
      <c r="A5" s="16"/>
      <c r="B5" s="66"/>
      <c r="C5" s="17"/>
      <c r="D5" s="19">
        <v>5</v>
      </c>
      <c r="E5" s="19">
        <v>20</v>
      </c>
      <c r="F5" s="51">
        <v>131.92339999999999</v>
      </c>
      <c r="G5" s="19">
        <v>0.94044000000000005</v>
      </c>
      <c r="H5" s="19">
        <v>0.51590000000000003</v>
      </c>
      <c r="I5" s="19">
        <v>2.8635000000000002</v>
      </c>
      <c r="J5" s="19">
        <v>1.1022000000000001</v>
      </c>
      <c r="K5" s="19">
        <v>5989.0544</v>
      </c>
      <c r="L5" s="19">
        <v>6352.6270999999997</v>
      </c>
      <c r="M5" s="18">
        <v>3</v>
      </c>
      <c r="N5" s="18">
        <v>5</v>
      </c>
      <c r="O5" s="18">
        <v>3</v>
      </c>
      <c r="P5" s="18">
        <v>2</v>
      </c>
      <c r="Q5" s="18">
        <v>1</v>
      </c>
      <c r="R5" s="18">
        <v>5</v>
      </c>
      <c r="S5" s="18">
        <v>2</v>
      </c>
      <c r="T5" s="1"/>
      <c r="U5" s="1"/>
      <c r="V5" s="1"/>
      <c r="W5" s="1"/>
    </row>
    <row r="6" spans="1:23" x14ac:dyDescent="0.25">
      <c r="A6" s="16"/>
      <c r="B6" s="66"/>
      <c r="C6" s="17"/>
      <c r="D6" s="19">
        <v>2</v>
      </c>
      <c r="E6" s="19">
        <v>25</v>
      </c>
      <c r="F6" s="51">
        <v>129.94390000000001</v>
      </c>
      <c r="G6" s="19">
        <v>0.95071000000000006</v>
      </c>
      <c r="H6" s="19">
        <v>0.57399</v>
      </c>
      <c r="I6" s="19">
        <v>2.3155000000000001</v>
      </c>
      <c r="J6" s="19">
        <v>0.84147000000000005</v>
      </c>
      <c r="K6" s="19" t="s">
        <v>0</v>
      </c>
      <c r="L6" s="19">
        <v>6708.2365</v>
      </c>
      <c r="M6" s="18">
        <v>4</v>
      </c>
      <c r="N6" s="18">
        <v>5</v>
      </c>
      <c r="O6" s="18">
        <v>2</v>
      </c>
      <c r="P6" s="18">
        <v>2</v>
      </c>
      <c r="Q6" s="18">
        <v>1</v>
      </c>
      <c r="R6" s="18">
        <v>5</v>
      </c>
      <c r="S6" s="18">
        <v>2</v>
      </c>
      <c r="T6" s="1"/>
      <c r="U6" s="1"/>
      <c r="V6" s="1"/>
      <c r="W6" s="1"/>
    </row>
    <row r="7" spans="1:23" x14ac:dyDescent="0.25">
      <c r="A7" s="16"/>
      <c r="B7" s="66"/>
      <c r="C7" s="17"/>
      <c r="D7" s="19">
        <v>4</v>
      </c>
      <c r="E7" s="19">
        <v>30</v>
      </c>
      <c r="F7" s="51">
        <v>134.30600000000001</v>
      </c>
      <c r="G7" s="19">
        <v>0.94030999999999998</v>
      </c>
      <c r="H7" s="19">
        <v>0.51339000000000001</v>
      </c>
      <c r="I7" s="19">
        <v>3.0840999999999998</v>
      </c>
      <c r="J7" s="19">
        <v>1.1548</v>
      </c>
      <c r="K7" s="19">
        <v>6029.4359000000004</v>
      </c>
      <c r="L7" s="19">
        <v>6119.7734</v>
      </c>
      <c r="M7" s="18">
        <v>3</v>
      </c>
      <c r="N7" s="18">
        <v>5</v>
      </c>
      <c r="O7" s="18">
        <v>3</v>
      </c>
      <c r="P7" s="18">
        <v>2</v>
      </c>
      <c r="Q7" s="18">
        <v>1</v>
      </c>
      <c r="R7" s="18">
        <v>5</v>
      </c>
      <c r="S7" s="18">
        <v>2</v>
      </c>
      <c r="T7" s="1"/>
      <c r="U7" s="1"/>
      <c r="V7" s="1"/>
      <c r="W7" s="1"/>
    </row>
    <row r="8" spans="1:23" x14ac:dyDescent="0.25">
      <c r="A8" s="16"/>
      <c r="B8" s="66"/>
      <c r="C8" s="17"/>
      <c r="D8" s="19">
        <v>3</v>
      </c>
      <c r="E8" s="19">
        <v>25</v>
      </c>
      <c r="F8" s="51">
        <v>133.77950000000001</v>
      </c>
      <c r="G8" s="19">
        <v>0.94871000000000005</v>
      </c>
      <c r="H8" s="19">
        <v>0.54437999999999998</v>
      </c>
      <c r="I8" s="19">
        <v>2.8622999999999998</v>
      </c>
      <c r="J8" s="19">
        <v>1.075</v>
      </c>
      <c r="K8" s="19">
        <v>6337.2254000000003</v>
      </c>
      <c r="L8" s="19">
        <v>6406.2698</v>
      </c>
      <c r="M8" s="18">
        <v>4</v>
      </c>
      <c r="N8" s="18">
        <v>5</v>
      </c>
      <c r="O8" s="18">
        <v>2</v>
      </c>
      <c r="P8" s="18">
        <v>2</v>
      </c>
      <c r="Q8" s="18">
        <v>1</v>
      </c>
      <c r="R8" s="18">
        <v>5</v>
      </c>
      <c r="S8" s="18">
        <v>2</v>
      </c>
      <c r="T8" s="1"/>
      <c r="U8" s="1"/>
      <c r="V8" s="1"/>
      <c r="W8" s="1"/>
    </row>
    <row r="9" spans="1:23" x14ac:dyDescent="0.25">
      <c r="A9" s="16"/>
      <c r="B9" s="66"/>
      <c r="C9" s="17"/>
      <c r="D9" s="19">
        <v>7</v>
      </c>
      <c r="E9" s="19">
        <v>40</v>
      </c>
      <c r="F9" s="51">
        <v>131.06710000000001</v>
      </c>
      <c r="G9" s="19">
        <v>0.91847000000000001</v>
      </c>
      <c r="H9" s="19">
        <v>0.39073000000000002</v>
      </c>
      <c r="I9" s="19">
        <v>3.2947000000000002</v>
      </c>
      <c r="J9" s="19">
        <v>1.3252999999999999</v>
      </c>
      <c r="K9" s="19">
        <v>5601.1674999999996</v>
      </c>
      <c r="L9" s="19">
        <v>6362.9985999999999</v>
      </c>
      <c r="M9" s="18">
        <v>3</v>
      </c>
      <c r="N9" s="18">
        <v>5</v>
      </c>
      <c r="O9" s="18">
        <v>3</v>
      </c>
      <c r="P9" s="18">
        <v>2</v>
      </c>
      <c r="Q9" s="18">
        <v>2</v>
      </c>
      <c r="R9" s="18">
        <v>5</v>
      </c>
      <c r="S9" s="18">
        <v>2</v>
      </c>
      <c r="T9" s="1"/>
      <c r="U9" s="1"/>
      <c r="V9" s="1"/>
      <c r="W9" s="1"/>
    </row>
    <row r="10" spans="1:23" x14ac:dyDescent="0.25">
      <c r="A10" s="16"/>
      <c r="B10" s="66"/>
      <c r="C10" s="17"/>
      <c r="D10" s="19">
        <v>8</v>
      </c>
      <c r="E10" s="19">
        <v>60</v>
      </c>
      <c r="F10" s="51">
        <v>130.05119999999999</v>
      </c>
      <c r="G10" s="19">
        <v>0.92049999999999998</v>
      </c>
      <c r="H10" s="19">
        <v>0.36498999999999998</v>
      </c>
      <c r="I10" s="19">
        <v>4.5340999999999996</v>
      </c>
      <c r="J10" s="19">
        <v>1.6143000000000001</v>
      </c>
      <c r="K10" s="19">
        <v>5228.6575000000003</v>
      </c>
      <c r="L10" s="19">
        <v>5560.0063</v>
      </c>
      <c r="M10" s="18">
        <v>3</v>
      </c>
      <c r="N10" s="18">
        <v>4</v>
      </c>
      <c r="O10" s="18">
        <v>4</v>
      </c>
      <c r="P10" s="18">
        <v>3</v>
      </c>
      <c r="Q10" s="18">
        <v>2</v>
      </c>
      <c r="R10" s="18">
        <v>5</v>
      </c>
      <c r="S10" s="18">
        <v>3</v>
      </c>
      <c r="T10" s="1"/>
      <c r="U10" s="1"/>
      <c r="V10" s="1"/>
      <c r="W10" s="1"/>
    </row>
    <row r="11" spans="1:23" x14ac:dyDescent="0.25">
      <c r="A11" s="16"/>
      <c r="B11" s="66"/>
      <c r="C11" s="17"/>
      <c r="D11" s="19">
        <v>9</v>
      </c>
      <c r="E11" s="19">
        <v>80</v>
      </c>
      <c r="F11" s="51">
        <v>126.3805</v>
      </c>
      <c r="G11" s="19">
        <v>0.92312000000000005</v>
      </c>
      <c r="H11" s="19">
        <v>0.38041000000000003</v>
      </c>
      <c r="I11" s="19">
        <v>4.1883999999999997</v>
      </c>
      <c r="J11" s="19">
        <v>1.5255000000000001</v>
      </c>
      <c r="K11" s="19">
        <v>5322.4416000000001</v>
      </c>
      <c r="L11" s="19">
        <v>5707.4530999999997</v>
      </c>
      <c r="M11" s="18">
        <v>2</v>
      </c>
      <c r="N11" s="18">
        <v>3</v>
      </c>
      <c r="O11" s="18">
        <v>5</v>
      </c>
      <c r="P11" s="18">
        <v>3</v>
      </c>
      <c r="Q11" s="18">
        <v>3</v>
      </c>
      <c r="R11" s="18">
        <v>5</v>
      </c>
      <c r="S11" s="18">
        <v>4</v>
      </c>
      <c r="T11" s="1"/>
      <c r="U11" s="1"/>
      <c r="V11" s="1"/>
      <c r="W11" s="1"/>
    </row>
    <row r="12" spans="1:23" ht="15.75" thickBot="1" x14ac:dyDescent="0.3">
      <c r="A12" s="16"/>
      <c r="B12" s="67"/>
      <c r="C12" s="17"/>
      <c r="D12" s="19">
        <v>10</v>
      </c>
      <c r="E12" s="19">
        <v>120</v>
      </c>
      <c r="F12" s="52">
        <v>119.4941</v>
      </c>
      <c r="G12" s="30">
        <v>0.91832999999999998</v>
      </c>
      <c r="H12" s="30">
        <v>0.35017999999999999</v>
      </c>
      <c r="I12" s="30">
        <v>5.3047000000000004</v>
      </c>
      <c r="J12" s="30">
        <v>1.7892999999999999</v>
      </c>
      <c r="K12" s="30">
        <v>4586.3676999999998</v>
      </c>
      <c r="L12" s="30">
        <v>5322.8566000000001</v>
      </c>
      <c r="M12" s="18">
        <v>1</v>
      </c>
      <c r="N12" s="18">
        <v>2</v>
      </c>
      <c r="O12" s="18">
        <v>5</v>
      </c>
      <c r="P12" s="18">
        <v>4</v>
      </c>
      <c r="Q12" s="18">
        <v>4</v>
      </c>
      <c r="R12" s="18">
        <v>5</v>
      </c>
      <c r="S12" s="18">
        <v>5</v>
      </c>
      <c r="T12" s="1"/>
      <c r="U12" s="1"/>
      <c r="V12" s="1"/>
      <c r="W12" s="1"/>
    </row>
    <row r="13" spans="1:23" ht="15.75" thickBot="1" x14ac:dyDescent="0.3">
      <c r="A13" s="8"/>
      <c r="B13" s="8"/>
      <c r="C13" s="8"/>
      <c r="D13" s="19"/>
      <c r="E13" s="9"/>
      <c r="F13" s="53" t="s">
        <v>24</v>
      </c>
      <c r="G13" s="54">
        <f>AVERAGE(G3:G12)</f>
        <v>0.93373799999999996</v>
      </c>
      <c r="H13" s="55">
        <f t="shared" ref="H13:L13" si="0">AVERAGE(H3:H12)</f>
        <v>0.46821499999999999</v>
      </c>
      <c r="I13" s="55">
        <f t="shared" si="0"/>
        <v>3.4411500000000004</v>
      </c>
      <c r="J13" s="55">
        <f t="shared" si="0"/>
        <v>1.263617</v>
      </c>
      <c r="K13" s="55">
        <f t="shared" si="0"/>
        <v>5642.1630444444445</v>
      </c>
      <c r="L13" s="56">
        <f t="shared" si="0"/>
        <v>6106.7636499999999</v>
      </c>
      <c r="M13" s="36"/>
      <c r="N13" s="36"/>
      <c r="O13" s="36"/>
      <c r="P13" s="36"/>
      <c r="Q13" s="36"/>
      <c r="R13" s="36"/>
      <c r="S13" s="36"/>
    </row>
    <row r="14" spans="1:23" x14ac:dyDescent="0.25">
      <c r="A14" s="16" t="s">
        <v>49</v>
      </c>
      <c r="B14" s="65" t="s">
        <v>25</v>
      </c>
      <c r="C14" s="17" t="s">
        <v>9</v>
      </c>
      <c r="D14" s="19">
        <v>6</v>
      </c>
      <c r="E14" s="19">
        <v>0</v>
      </c>
      <c r="F14" s="57">
        <v>135.02670000000001</v>
      </c>
      <c r="G14" s="28">
        <v>0.85721999999999998</v>
      </c>
      <c r="H14" s="28">
        <v>9.0771000000000004E-2</v>
      </c>
      <c r="I14" s="28">
        <v>10.8756</v>
      </c>
      <c r="J14" s="28">
        <v>2.2397999999999998</v>
      </c>
      <c r="K14" s="28">
        <v>2398.4535000000001</v>
      </c>
      <c r="L14" s="28">
        <v>2465.4214999999999</v>
      </c>
      <c r="M14" s="18">
        <v>4</v>
      </c>
      <c r="N14" s="18">
        <v>5</v>
      </c>
      <c r="O14" s="18">
        <v>4</v>
      </c>
      <c r="P14" s="18">
        <v>1</v>
      </c>
      <c r="Q14" s="18">
        <v>1</v>
      </c>
      <c r="R14" s="18">
        <v>5</v>
      </c>
      <c r="S14" s="18">
        <v>4</v>
      </c>
      <c r="W14" s="1"/>
    </row>
    <row r="15" spans="1:23" x14ac:dyDescent="0.25">
      <c r="A15" s="16"/>
      <c r="B15" s="66"/>
      <c r="C15" s="17"/>
      <c r="D15" s="19">
        <v>1</v>
      </c>
      <c r="E15" s="19">
        <v>10</v>
      </c>
      <c r="F15" s="49">
        <v>136.53489999999999</v>
      </c>
      <c r="G15" s="19">
        <v>0.8548</v>
      </c>
      <c r="H15" s="19">
        <v>8.8215000000000002E-2</v>
      </c>
      <c r="I15" s="19">
        <v>11.418900000000001</v>
      </c>
      <c r="J15" s="19">
        <v>2.3007</v>
      </c>
      <c r="K15" s="19">
        <v>2342.5918000000001</v>
      </c>
      <c r="L15" s="19">
        <v>2438.7883000000002</v>
      </c>
      <c r="M15" s="18">
        <v>4</v>
      </c>
      <c r="N15" s="18">
        <v>4</v>
      </c>
      <c r="O15" s="18">
        <v>1</v>
      </c>
      <c r="P15" s="18">
        <v>1</v>
      </c>
      <c r="Q15" s="18">
        <v>1</v>
      </c>
      <c r="R15" s="18">
        <v>5</v>
      </c>
      <c r="S15" s="18">
        <v>1</v>
      </c>
      <c r="W15" s="1"/>
    </row>
    <row r="16" spans="1:23" x14ac:dyDescent="0.25">
      <c r="A16" s="16"/>
      <c r="B16" s="66"/>
      <c r="C16" s="17"/>
      <c r="D16" s="19">
        <v>5</v>
      </c>
      <c r="E16" s="19">
        <v>20</v>
      </c>
      <c r="F16" s="49">
        <v>136.80850000000001</v>
      </c>
      <c r="G16" s="19">
        <v>0.84885999999999995</v>
      </c>
      <c r="H16" s="19">
        <v>8.3807000000000006E-2</v>
      </c>
      <c r="I16" s="19">
        <v>12.5533</v>
      </c>
      <c r="J16" s="19">
        <v>2.4308000000000001</v>
      </c>
      <c r="K16" s="19">
        <v>2252.2413000000001</v>
      </c>
      <c r="L16" s="19">
        <v>2384.4742999999999</v>
      </c>
      <c r="M16" s="18">
        <v>3</v>
      </c>
      <c r="N16" s="18">
        <v>5</v>
      </c>
      <c r="O16" s="18">
        <v>3</v>
      </c>
      <c r="P16" s="18"/>
      <c r="Q16" s="18">
        <v>1</v>
      </c>
      <c r="R16" s="18">
        <v>5</v>
      </c>
      <c r="S16" s="18">
        <v>3</v>
      </c>
      <c r="W16" s="1"/>
    </row>
    <row r="17" spans="1:23" x14ac:dyDescent="0.25">
      <c r="A17" s="16"/>
      <c r="B17" s="66"/>
      <c r="C17" s="17"/>
      <c r="D17" s="19">
        <v>2</v>
      </c>
      <c r="E17" s="19">
        <v>25</v>
      </c>
      <c r="F17" s="49">
        <v>132.40620000000001</v>
      </c>
      <c r="G17" s="19">
        <v>0.85152000000000005</v>
      </c>
      <c r="H17" s="19">
        <v>9.3813999999999995E-2</v>
      </c>
      <c r="I17" s="19">
        <v>11.186</v>
      </c>
      <c r="J17" s="19">
        <v>2.3119999999999998</v>
      </c>
      <c r="K17" s="19">
        <v>2364.4719</v>
      </c>
      <c r="L17" s="19">
        <v>2504.9504000000002</v>
      </c>
      <c r="M17" s="18">
        <v>3</v>
      </c>
      <c r="N17" s="18">
        <v>4</v>
      </c>
      <c r="O17" s="18">
        <v>3</v>
      </c>
      <c r="P17" s="18">
        <v>1</v>
      </c>
      <c r="Q17" s="18">
        <v>1</v>
      </c>
      <c r="R17" s="18">
        <v>4</v>
      </c>
      <c r="S17" s="18">
        <v>3</v>
      </c>
      <c r="W17" s="1"/>
    </row>
    <row r="18" spans="1:23" x14ac:dyDescent="0.25">
      <c r="A18" s="16"/>
      <c r="B18" s="66"/>
      <c r="C18" s="17"/>
      <c r="D18" s="19">
        <v>4</v>
      </c>
      <c r="E18" s="19">
        <v>30</v>
      </c>
      <c r="F18" s="49">
        <v>132.30019999999999</v>
      </c>
      <c r="G18" s="19">
        <v>0.84904999999999997</v>
      </c>
      <c r="H18" s="19">
        <v>8.7212999999999999E-2</v>
      </c>
      <c r="I18" s="19">
        <v>11.678699999999999</v>
      </c>
      <c r="J18" s="19">
        <v>2.3551000000000002</v>
      </c>
      <c r="K18" s="19">
        <v>2283.4106999999999</v>
      </c>
      <c r="L18" s="19">
        <v>2434.2539000000002</v>
      </c>
      <c r="M18" s="18">
        <v>3</v>
      </c>
      <c r="N18" s="18">
        <v>5</v>
      </c>
      <c r="O18" s="18">
        <v>3</v>
      </c>
      <c r="P18" s="18">
        <v>1</v>
      </c>
      <c r="Q18" s="18">
        <v>1</v>
      </c>
      <c r="R18" s="18">
        <v>5</v>
      </c>
      <c r="S18" s="18">
        <v>4</v>
      </c>
      <c r="W18" s="1"/>
    </row>
    <row r="19" spans="1:23" x14ac:dyDescent="0.25">
      <c r="A19" s="16"/>
      <c r="B19" s="66"/>
      <c r="C19" s="17"/>
      <c r="D19" s="19">
        <v>3</v>
      </c>
      <c r="E19" s="19">
        <v>25</v>
      </c>
      <c r="F19" s="49">
        <v>135.42089999999999</v>
      </c>
      <c r="G19" s="19">
        <v>0.84645000000000004</v>
      </c>
      <c r="H19" s="19">
        <v>8.7193999999999994E-2</v>
      </c>
      <c r="I19" s="19">
        <v>11.7934</v>
      </c>
      <c r="J19" s="19">
        <v>2.3631000000000002</v>
      </c>
      <c r="K19" s="19">
        <v>2281.9119999999998</v>
      </c>
      <c r="L19" s="19">
        <v>2445.8870000000002</v>
      </c>
      <c r="M19" s="18">
        <v>4</v>
      </c>
      <c r="N19" s="18">
        <v>0</v>
      </c>
      <c r="O19" s="18">
        <v>4</v>
      </c>
      <c r="P19" s="18">
        <v>1</v>
      </c>
      <c r="Q19" s="18">
        <v>1</v>
      </c>
      <c r="R19" s="18">
        <v>4</v>
      </c>
      <c r="S19" s="18">
        <v>4</v>
      </c>
      <c r="W19" s="1"/>
    </row>
    <row r="20" spans="1:23" x14ac:dyDescent="0.25">
      <c r="A20" s="16"/>
      <c r="B20" s="66"/>
      <c r="C20" s="17"/>
      <c r="D20" s="19">
        <v>7</v>
      </c>
      <c r="E20" s="19">
        <v>40</v>
      </c>
      <c r="F20" s="49">
        <v>132.90199999999999</v>
      </c>
      <c r="G20" s="19">
        <v>0.85521999999999998</v>
      </c>
      <c r="H20" s="19">
        <v>9.9088999999999997E-2</v>
      </c>
      <c r="I20" s="19">
        <v>10.7103</v>
      </c>
      <c r="J20" s="19">
        <v>2.2555000000000001</v>
      </c>
      <c r="K20" s="19">
        <v>2411.3638999999998</v>
      </c>
      <c r="L20" s="19">
        <v>2562.7343000000001</v>
      </c>
      <c r="M20" s="18">
        <v>4</v>
      </c>
      <c r="N20" s="18">
        <v>5</v>
      </c>
      <c r="O20" s="18">
        <v>4</v>
      </c>
      <c r="P20" s="18">
        <v>1</v>
      </c>
      <c r="Q20" s="18">
        <v>1</v>
      </c>
      <c r="R20" s="18">
        <v>5</v>
      </c>
      <c r="S20" s="18">
        <v>4</v>
      </c>
      <c r="W20" s="1"/>
    </row>
    <row r="21" spans="1:23" x14ac:dyDescent="0.25">
      <c r="A21" s="16"/>
      <c r="B21" s="66"/>
      <c r="C21" s="17"/>
      <c r="D21" s="19">
        <v>8</v>
      </c>
      <c r="E21" s="19">
        <v>60</v>
      </c>
      <c r="F21" s="49">
        <v>133.88730000000001</v>
      </c>
      <c r="G21" s="19">
        <v>0.85658000000000001</v>
      </c>
      <c r="H21" s="19">
        <v>9.6507999999999997E-2</v>
      </c>
      <c r="I21" s="19">
        <v>11.0524</v>
      </c>
      <c r="J21" s="19">
        <v>2.2715999999999998</v>
      </c>
      <c r="K21" s="19">
        <v>2392.7510000000002</v>
      </c>
      <c r="L21" s="19">
        <v>2522.9459000000002</v>
      </c>
      <c r="M21" s="18">
        <v>2</v>
      </c>
      <c r="N21" s="18">
        <v>5</v>
      </c>
      <c r="O21" s="18">
        <v>2</v>
      </c>
      <c r="P21" s="18">
        <v>1</v>
      </c>
      <c r="Q21" s="18">
        <v>1</v>
      </c>
      <c r="R21" s="18">
        <v>5</v>
      </c>
      <c r="S21" s="18">
        <v>2</v>
      </c>
      <c r="W21" s="1"/>
    </row>
    <row r="22" spans="1:23" x14ac:dyDescent="0.25">
      <c r="A22" s="16"/>
      <c r="B22" s="66"/>
      <c r="C22" s="17"/>
      <c r="D22" s="19">
        <v>9</v>
      </c>
      <c r="E22" s="19">
        <v>80</v>
      </c>
      <c r="F22" s="49">
        <v>127.934</v>
      </c>
      <c r="G22" s="19">
        <v>0.86077000000000004</v>
      </c>
      <c r="H22" s="19">
        <v>9.7011E-2</v>
      </c>
      <c r="I22" s="19">
        <v>9.9565999999999999</v>
      </c>
      <c r="J22" s="19">
        <v>2.1385999999999998</v>
      </c>
      <c r="K22" s="19">
        <v>2470.2739000000001</v>
      </c>
      <c r="L22" s="19">
        <v>2551.2604000000001</v>
      </c>
      <c r="M22" s="18">
        <v>2</v>
      </c>
      <c r="N22" s="18">
        <v>5</v>
      </c>
      <c r="O22" s="18">
        <v>2</v>
      </c>
      <c r="P22" s="18">
        <v>1</v>
      </c>
      <c r="Q22" s="18">
        <v>1</v>
      </c>
      <c r="R22" s="18">
        <v>5</v>
      </c>
      <c r="S22" s="18">
        <v>3</v>
      </c>
      <c r="W22" s="1"/>
    </row>
    <row r="23" spans="1:23" ht="15.75" thickBot="1" x14ac:dyDescent="0.3">
      <c r="A23" s="16"/>
      <c r="B23" s="67"/>
      <c r="C23" s="17"/>
      <c r="D23" s="19">
        <v>10</v>
      </c>
      <c r="E23" s="19">
        <v>120</v>
      </c>
      <c r="F23" s="50">
        <v>120.05410000000001</v>
      </c>
      <c r="G23" s="30">
        <v>0.86533000000000004</v>
      </c>
      <c r="H23" s="30">
        <v>0.11759</v>
      </c>
      <c r="I23" s="30">
        <v>9.5319000000000003</v>
      </c>
      <c r="J23" s="30">
        <v>2.1160999999999999</v>
      </c>
      <c r="K23" s="30">
        <v>2646.5437999999999</v>
      </c>
      <c r="L23" s="30">
        <v>2743.3807999999999</v>
      </c>
      <c r="M23" s="18">
        <v>3</v>
      </c>
      <c r="N23" s="18">
        <v>5</v>
      </c>
      <c r="O23" s="18">
        <v>2</v>
      </c>
      <c r="P23" s="18">
        <v>1</v>
      </c>
      <c r="Q23" s="18">
        <v>1</v>
      </c>
      <c r="R23" s="18">
        <v>5</v>
      </c>
      <c r="S23" s="18">
        <v>3</v>
      </c>
      <c r="W23" s="1"/>
    </row>
    <row r="24" spans="1:23" ht="15.75" thickBot="1" x14ac:dyDescent="0.3">
      <c r="A24" s="8"/>
      <c r="B24" s="8"/>
      <c r="C24" s="8"/>
      <c r="D24" s="8"/>
      <c r="E24" s="11"/>
      <c r="F24" s="53" t="s">
        <v>24</v>
      </c>
      <c r="G24" s="54">
        <f>AVERAGE(G14:G23)</f>
        <v>0.85458000000000001</v>
      </c>
      <c r="H24" s="55">
        <f t="shared" ref="H24:L24" si="1">AVERAGE(H14:H23)</f>
        <v>9.4121199999999988E-2</v>
      </c>
      <c r="I24" s="55">
        <f t="shared" si="1"/>
        <v>11.075710000000001</v>
      </c>
      <c r="J24" s="55">
        <f t="shared" si="1"/>
        <v>2.27833</v>
      </c>
      <c r="K24" s="55">
        <f t="shared" si="1"/>
        <v>2384.4013800000002</v>
      </c>
      <c r="L24" s="56">
        <f t="shared" si="1"/>
        <v>2505.4096799999998</v>
      </c>
      <c r="M24" s="5"/>
      <c r="N24" s="5"/>
      <c r="O24" s="5"/>
      <c r="P24" s="5"/>
      <c r="Q24" s="5"/>
      <c r="R24" s="5"/>
      <c r="S24" s="5"/>
    </row>
    <row r="26" spans="1:23" ht="15.75" thickBot="1" x14ac:dyDescent="0.3">
      <c r="C26" s="1"/>
      <c r="D26" s="1"/>
      <c r="G26" s="1"/>
      <c r="H26" s="1"/>
      <c r="I26" s="1"/>
      <c r="J26" s="1"/>
      <c r="K26" s="1"/>
      <c r="L26" s="1"/>
      <c r="M26" s="1"/>
      <c r="N26" s="1"/>
    </row>
    <row r="27" spans="1:23" s="71" customFormat="1" ht="29.25" thickBot="1" x14ac:dyDescent="0.5">
      <c r="A27" s="68" t="s">
        <v>59</v>
      </c>
      <c r="B27" s="69"/>
      <c r="C27" s="70" t="s">
        <v>60</v>
      </c>
      <c r="F27" s="72"/>
    </row>
  </sheetData>
  <sortState xmlns:xlrd2="http://schemas.microsoft.com/office/spreadsheetml/2017/richdata2" ref="V14:W23">
    <sortCondition ref="V14:V23"/>
  </sortState>
  <mergeCells count="8">
    <mergeCell ref="A3:A12"/>
    <mergeCell ref="A14:A23"/>
    <mergeCell ref="C3:C12"/>
    <mergeCell ref="C14:C23"/>
    <mergeCell ref="M1:S1"/>
    <mergeCell ref="G1:L1"/>
    <mergeCell ref="B14:B23"/>
    <mergeCell ref="B3:B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workbookViewId="0">
      <selection activeCell="A27" sqref="A27:XFD27"/>
    </sheetView>
  </sheetViews>
  <sheetFormatPr defaultRowHeight="15" x14ac:dyDescent="0.25"/>
  <cols>
    <col min="1" max="2" width="12.42578125" customWidth="1"/>
    <col min="3" max="3" width="12.5703125" customWidth="1"/>
    <col min="4" max="4" width="12.28515625" customWidth="1"/>
    <col min="6" max="6" width="17.140625" customWidth="1"/>
    <col min="7" max="7" width="11.140625" customWidth="1"/>
    <col min="8" max="8" width="10.140625" customWidth="1"/>
    <col min="9" max="9" width="11" customWidth="1"/>
    <col min="10" max="10" width="12.7109375" customWidth="1"/>
    <col min="11" max="11" width="10.42578125" customWidth="1"/>
    <col min="12" max="12" width="11.85546875" customWidth="1"/>
  </cols>
  <sheetData>
    <row r="1" spans="1:21" ht="15.75" thickBot="1" x14ac:dyDescent="0.3">
      <c r="A1" s="8"/>
      <c r="B1" s="8"/>
      <c r="C1" s="8"/>
      <c r="D1" s="8"/>
      <c r="E1" s="8"/>
      <c r="F1" s="9"/>
      <c r="G1" s="15" t="s">
        <v>58</v>
      </c>
      <c r="H1" s="20"/>
      <c r="I1" s="20"/>
      <c r="J1" s="20"/>
      <c r="K1" s="20"/>
      <c r="L1" s="21"/>
      <c r="M1" s="12" t="s">
        <v>57</v>
      </c>
      <c r="N1" s="13"/>
      <c r="O1" s="13"/>
      <c r="P1" s="13"/>
      <c r="Q1" s="13"/>
      <c r="R1" s="13"/>
      <c r="S1" s="14"/>
    </row>
    <row r="2" spans="1:21" x14ac:dyDescent="0.25">
      <c r="A2" s="8"/>
      <c r="B2" s="10" t="s">
        <v>64</v>
      </c>
      <c r="C2" s="10" t="s">
        <v>1</v>
      </c>
      <c r="D2" s="31" t="s">
        <v>54</v>
      </c>
      <c r="E2" s="31" t="s">
        <v>55</v>
      </c>
      <c r="F2" s="32" t="s">
        <v>56</v>
      </c>
      <c r="G2" s="33" t="s">
        <v>2</v>
      </c>
      <c r="H2" s="34" t="s">
        <v>3</v>
      </c>
      <c r="I2" s="34" t="s">
        <v>4</v>
      </c>
      <c r="J2" s="34" t="s">
        <v>5</v>
      </c>
      <c r="K2" s="34" t="s">
        <v>6</v>
      </c>
      <c r="L2" s="35" t="s">
        <v>7</v>
      </c>
      <c r="M2" s="33" t="s">
        <v>16</v>
      </c>
      <c r="N2" s="34" t="s">
        <v>17</v>
      </c>
      <c r="O2" s="34" t="s">
        <v>18</v>
      </c>
      <c r="P2" s="34" t="s">
        <v>19</v>
      </c>
      <c r="Q2" s="34" t="s">
        <v>20</v>
      </c>
      <c r="R2" s="34" t="s">
        <v>21</v>
      </c>
      <c r="S2" s="35" t="s">
        <v>22</v>
      </c>
    </row>
    <row r="3" spans="1:21" ht="15" customHeight="1" x14ac:dyDescent="0.25">
      <c r="A3" s="62" t="s">
        <v>50</v>
      </c>
      <c r="B3" s="65" t="s">
        <v>28</v>
      </c>
      <c r="C3" s="59" t="s">
        <v>8</v>
      </c>
      <c r="D3" s="19">
        <v>6</v>
      </c>
      <c r="E3" s="19">
        <v>0</v>
      </c>
      <c r="F3" s="18">
        <v>144.16829999999999</v>
      </c>
      <c r="G3" s="19">
        <v>0.92284999999999995</v>
      </c>
      <c r="H3" s="19">
        <v>0.46265000000000001</v>
      </c>
      <c r="I3" s="19">
        <v>2.6983999999999999</v>
      </c>
      <c r="J3" s="19">
        <v>1.0825</v>
      </c>
      <c r="K3" s="19">
        <v>6216.9624000000003</v>
      </c>
      <c r="L3" s="19">
        <v>6587.1584999999995</v>
      </c>
      <c r="M3" s="19">
        <v>5</v>
      </c>
      <c r="N3" s="19">
        <v>5</v>
      </c>
      <c r="O3" s="19">
        <v>1</v>
      </c>
      <c r="P3" s="19">
        <v>1</v>
      </c>
      <c r="Q3" s="19">
        <v>1</v>
      </c>
      <c r="R3" s="19">
        <v>3</v>
      </c>
      <c r="S3" s="19">
        <v>1</v>
      </c>
      <c r="U3" s="1"/>
    </row>
    <row r="4" spans="1:21" x14ac:dyDescent="0.25">
      <c r="A4" s="63"/>
      <c r="B4" s="66"/>
      <c r="C4" s="60"/>
      <c r="D4" s="19">
        <v>1</v>
      </c>
      <c r="E4" s="19">
        <v>10</v>
      </c>
      <c r="F4" s="18">
        <v>159.11439999999999</v>
      </c>
      <c r="G4" s="19">
        <v>0.91796</v>
      </c>
      <c r="H4" s="19">
        <v>0.38829000000000002</v>
      </c>
      <c r="I4" s="19">
        <v>4.4558</v>
      </c>
      <c r="J4" s="19">
        <v>1.6002000000000001</v>
      </c>
      <c r="K4" s="19">
        <v>4776.0200999999997</v>
      </c>
      <c r="L4" s="19">
        <v>5643.4404000000004</v>
      </c>
      <c r="M4" s="19">
        <v>5</v>
      </c>
      <c r="N4" s="19">
        <v>5</v>
      </c>
      <c r="O4" s="19">
        <v>1</v>
      </c>
      <c r="P4" s="19">
        <v>1</v>
      </c>
      <c r="Q4" s="19">
        <v>1</v>
      </c>
      <c r="R4" s="19">
        <v>5</v>
      </c>
      <c r="S4" s="19">
        <v>1</v>
      </c>
      <c r="U4" s="1"/>
    </row>
    <row r="5" spans="1:21" x14ac:dyDescent="0.25">
      <c r="A5" s="63"/>
      <c r="B5" s="66"/>
      <c r="C5" s="60"/>
      <c r="D5" s="19">
        <v>5</v>
      </c>
      <c r="E5" s="19">
        <v>20</v>
      </c>
      <c r="F5" s="18">
        <v>100.21729999999999</v>
      </c>
      <c r="G5" s="19">
        <v>0.91998000000000002</v>
      </c>
      <c r="H5" s="19">
        <v>0.43281999999999998</v>
      </c>
      <c r="I5" s="19">
        <v>3.4418000000000002</v>
      </c>
      <c r="J5" s="19">
        <v>1.3109</v>
      </c>
      <c r="K5" s="19">
        <v>5673.2493999999997</v>
      </c>
      <c r="L5" s="19">
        <v>5997.7132000000001</v>
      </c>
      <c r="M5" s="19">
        <v>4</v>
      </c>
      <c r="N5" s="19">
        <v>4</v>
      </c>
      <c r="O5" s="19">
        <v>1</v>
      </c>
      <c r="P5" s="19">
        <v>1</v>
      </c>
      <c r="Q5" s="19">
        <v>1</v>
      </c>
      <c r="R5" s="19">
        <v>4</v>
      </c>
      <c r="S5" s="19">
        <v>1</v>
      </c>
      <c r="U5" s="1"/>
    </row>
    <row r="6" spans="1:21" x14ac:dyDescent="0.25">
      <c r="A6" s="63"/>
      <c r="B6" s="66"/>
      <c r="C6" s="60"/>
      <c r="D6" s="19">
        <v>2</v>
      </c>
      <c r="E6" s="19">
        <v>25</v>
      </c>
      <c r="F6" s="18">
        <v>156.58500000000001</v>
      </c>
      <c r="G6" s="19">
        <v>0.91452</v>
      </c>
      <c r="H6" s="19">
        <v>0.41008</v>
      </c>
      <c r="I6" s="19">
        <v>3.1998000000000002</v>
      </c>
      <c r="J6" s="19">
        <v>1.2934000000000001</v>
      </c>
      <c r="K6" s="19">
        <v>5603.3769000000002</v>
      </c>
      <c r="L6" s="19">
        <v>6433.3945000000003</v>
      </c>
      <c r="M6" s="19">
        <v>5</v>
      </c>
      <c r="N6" s="19">
        <v>5</v>
      </c>
      <c r="O6" s="19">
        <v>1</v>
      </c>
      <c r="P6" s="19">
        <v>1</v>
      </c>
      <c r="Q6" s="19">
        <v>1</v>
      </c>
      <c r="R6" s="19">
        <v>4</v>
      </c>
      <c r="S6" s="19">
        <v>1</v>
      </c>
      <c r="U6" s="1"/>
    </row>
    <row r="7" spans="1:21" x14ac:dyDescent="0.25">
      <c r="A7" s="63"/>
      <c r="B7" s="66"/>
      <c r="C7" s="60"/>
      <c r="D7" s="19">
        <v>4</v>
      </c>
      <c r="E7" s="19">
        <v>30</v>
      </c>
      <c r="F7" s="18">
        <v>102.94889999999999</v>
      </c>
      <c r="G7" s="19">
        <v>0.91754000000000002</v>
      </c>
      <c r="H7" s="19">
        <v>0.46238000000000001</v>
      </c>
      <c r="I7" s="19">
        <v>2.0707</v>
      </c>
      <c r="J7" s="19">
        <v>0.83477999999999997</v>
      </c>
      <c r="K7" s="19">
        <v>6835.5451999999996</v>
      </c>
      <c r="L7" s="19">
        <v>7155.5147999999999</v>
      </c>
      <c r="M7" s="19">
        <v>5</v>
      </c>
      <c r="N7" s="19">
        <v>5</v>
      </c>
      <c r="O7" s="19">
        <v>1</v>
      </c>
      <c r="P7" s="19">
        <v>1</v>
      </c>
      <c r="Q7" s="19">
        <v>1</v>
      </c>
      <c r="R7" s="19">
        <v>3</v>
      </c>
      <c r="S7" s="19">
        <v>1</v>
      </c>
      <c r="U7" s="1"/>
    </row>
    <row r="8" spans="1:21" x14ac:dyDescent="0.25">
      <c r="A8" s="63"/>
      <c r="B8" s="66"/>
      <c r="C8" s="60"/>
      <c r="D8" s="19">
        <v>3</v>
      </c>
      <c r="E8" s="19">
        <v>25</v>
      </c>
      <c r="F8" s="18">
        <v>109.764</v>
      </c>
      <c r="G8" s="19">
        <v>0.92168000000000005</v>
      </c>
      <c r="H8" s="19">
        <v>0.41216000000000003</v>
      </c>
      <c r="I8" s="19">
        <v>3.4232999999999998</v>
      </c>
      <c r="J8" s="19">
        <v>1.3478000000000001</v>
      </c>
      <c r="K8" s="19">
        <v>5570.0045</v>
      </c>
      <c r="L8" s="19">
        <v>6159.3834999999999</v>
      </c>
      <c r="M8" s="19">
        <v>5</v>
      </c>
      <c r="N8" s="19">
        <v>5</v>
      </c>
      <c r="O8" s="19">
        <v>1</v>
      </c>
      <c r="P8" s="19">
        <v>1</v>
      </c>
      <c r="Q8" s="19">
        <v>1</v>
      </c>
      <c r="R8" s="19">
        <v>4</v>
      </c>
      <c r="S8" s="19">
        <v>1</v>
      </c>
      <c r="U8" s="1"/>
    </row>
    <row r="9" spans="1:21" x14ac:dyDescent="0.25">
      <c r="A9" s="63"/>
      <c r="B9" s="66"/>
      <c r="C9" s="60"/>
      <c r="D9" s="19">
        <v>7</v>
      </c>
      <c r="E9" s="19">
        <v>40</v>
      </c>
      <c r="F9" s="18">
        <v>149.09630000000001</v>
      </c>
      <c r="G9" s="19">
        <v>0.92879999999999996</v>
      </c>
      <c r="H9" s="19">
        <v>0.50997999999999999</v>
      </c>
      <c r="I9" s="19">
        <v>2.0613999999999999</v>
      </c>
      <c r="J9" s="19">
        <v>0.79903999999999997</v>
      </c>
      <c r="K9" s="19">
        <v>6992.5436</v>
      </c>
      <c r="L9" s="19">
        <v>7047.4315999999999</v>
      </c>
      <c r="M9" s="19">
        <v>4</v>
      </c>
      <c r="N9" s="19">
        <v>4</v>
      </c>
      <c r="O9" s="19">
        <v>1</v>
      </c>
      <c r="P9" s="19">
        <v>1</v>
      </c>
      <c r="Q9" s="19">
        <v>1</v>
      </c>
      <c r="R9" s="19">
        <v>3</v>
      </c>
      <c r="S9" s="19">
        <v>2</v>
      </c>
      <c r="U9" s="1"/>
    </row>
    <row r="10" spans="1:21" x14ac:dyDescent="0.25">
      <c r="A10" s="63"/>
      <c r="B10" s="66"/>
      <c r="C10" s="60"/>
      <c r="D10" s="19">
        <v>8</v>
      </c>
      <c r="E10" s="19">
        <v>60</v>
      </c>
      <c r="F10" s="18">
        <v>160.8391</v>
      </c>
      <c r="G10" s="19">
        <v>0.92244000000000004</v>
      </c>
      <c r="H10" s="19">
        <v>0.46478000000000003</v>
      </c>
      <c r="I10" s="19">
        <v>2.8755999999999999</v>
      </c>
      <c r="J10" s="19">
        <v>1.1579999999999999</v>
      </c>
      <c r="K10" s="19">
        <v>5964.4646000000002</v>
      </c>
      <c r="L10" s="19">
        <v>6547.5553</v>
      </c>
      <c r="M10" s="19">
        <v>3</v>
      </c>
      <c r="N10" s="19">
        <v>4</v>
      </c>
      <c r="O10" s="19">
        <v>2</v>
      </c>
      <c r="P10" s="19">
        <v>1</v>
      </c>
      <c r="Q10" s="19">
        <v>2</v>
      </c>
      <c r="R10" s="19">
        <v>4</v>
      </c>
      <c r="S10" s="19">
        <v>3</v>
      </c>
      <c r="U10" s="1"/>
    </row>
    <row r="11" spans="1:21" x14ac:dyDescent="0.25">
      <c r="A11" s="63"/>
      <c r="B11" s="66"/>
      <c r="C11" s="60"/>
      <c r="D11" s="19">
        <v>9</v>
      </c>
      <c r="E11" s="19">
        <v>80</v>
      </c>
      <c r="F11" s="18">
        <v>161.82810000000001</v>
      </c>
      <c r="G11" s="19">
        <v>0.93103000000000002</v>
      </c>
      <c r="H11" s="19">
        <v>0.53032000000000001</v>
      </c>
      <c r="I11" s="19">
        <v>1.7546999999999999</v>
      </c>
      <c r="J11" s="19">
        <v>0.61436999999999997</v>
      </c>
      <c r="K11" s="19">
        <v>7659.5063</v>
      </c>
      <c r="L11" s="19">
        <v>7378.6444000000001</v>
      </c>
      <c r="M11" s="19">
        <v>4</v>
      </c>
      <c r="N11" s="19">
        <v>4</v>
      </c>
      <c r="O11" s="19">
        <v>2</v>
      </c>
      <c r="P11" s="19">
        <v>1</v>
      </c>
      <c r="Q11" s="19">
        <v>1</v>
      </c>
      <c r="R11" s="19">
        <v>4</v>
      </c>
      <c r="S11" s="19">
        <v>2</v>
      </c>
      <c r="U11" s="1"/>
    </row>
    <row r="12" spans="1:21" ht="15.75" thickBot="1" x14ac:dyDescent="0.3">
      <c r="A12" s="64"/>
      <c r="B12" s="67"/>
      <c r="C12" s="61"/>
      <c r="D12" s="19">
        <v>10</v>
      </c>
      <c r="E12" s="19">
        <v>120</v>
      </c>
      <c r="F12" s="26">
        <v>159.11439999999999</v>
      </c>
      <c r="G12" s="30">
        <v>0.92456000000000005</v>
      </c>
      <c r="H12" s="30">
        <v>0.41565999999999997</v>
      </c>
      <c r="I12" s="30">
        <v>4.1227999999999998</v>
      </c>
      <c r="J12" s="30">
        <v>1.4769000000000001</v>
      </c>
      <c r="K12" s="30">
        <v>5532.5520999999999</v>
      </c>
      <c r="L12" s="30">
        <v>5573.4657999999999</v>
      </c>
      <c r="M12" s="19">
        <v>1</v>
      </c>
      <c r="N12" s="19">
        <v>1</v>
      </c>
      <c r="O12" s="19">
        <v>5</v>
      </c>
      <c r="P12" s="19">
        <v>1</v>
      </c>
      <c r="Q12" s="19">
        <v>2</v>
      </c>
      <c r="R12" s="19">
        <v>5</v>
      </c>
      <c r="S12" s="19">
        <v>5</v>
      </c>
      <c r="U12" s="1"/>
    </row>
    <row r="13" spans="1:21" ht="15.75" thickBot="1" x14ac:dyDescent="0.3">
      <c r="A13" s="8"/>
      <c r="B13" s="8"/>
      <c r="C13" s="8"/>
      <c r="D13" s="19"/>
      <c r="F13" s="42" t="s">
        <v>24</v>
      </c>
      <c r="G13" s="41">
        <f>AVERAGE(G3:G12)</f>
        <v>0.92213600000000007</v>
      </c>
      <c r="H13" s="38">
        <f t="shared" ref="H13:L13" si="0">AVERAGE(H3:H12)</f>
        <v>0.44891200000000009</v>
      </c>
      <c r="I13" s="38">
        <f t="shared" si="0"/>
        <v>3.0104299999999995</v>
      </c>
      <c r="J13" s="38">
        <f t="shared" si="0"/>
        <v>1.151789</v>
      </c>
      <c r="K13" s="38">
        <f t="shared" si="0"/>
        <v>6082.4225099999994</v>
      </c>
      <c r="L13" s="39">
        <f t="shared" si="0"/>
        <v>6452.3701999999994</v>
      </c>
      <c r="M13" s="36"/>
      <c r="N13" s="36"/>
      <c r="O13" s="36"/>
      <c r="P13" s="36"/>
      <c r="Q13" s="36"/>
      <c r="R13" s="36"/>
      <c r="S13" s="36"/>
    </row>
    <row r="14" spans="1:21" ht="15" customHeight="1" x14ac:dyDescent="0.25">
      <c r="A14" s="62" t="s">
        <v>49</v>
      </c>
      <c r="B14" s="65" t="s">
        <v>27</v>
      </c>
      <c r="C14" s="59" t="s">
        <v>10</v>
      </c>
      <c r="D14" s="19">
        <v>6</v>
      </c>
      <c r="E14" s="19">
        <v>0</v>
      </c>
      <c r="F14" s="28">
        <v>166.6463</v>
      </c>
      <c r="G14" s="28">
        <v>0.79298999999999997</v>
      </c>
      <c r="H14" s="28">
        <v>8.8631000000000001E-2</v>
      </c>
      <c r="I14" s="28">
        <v>21.474699999999999</v>
      </c>
      <c r="J14" s="28">
        <v>3.9632999999999998</v>
      </c>
      <c r="K14" s="28">
        <v>1278.1682000000001</v>
      </c>
      <c r="L14" s="28">
        <v>2534.4884000000002</v>
      </c>
      <c r="M14" s="19">
        <v>5</v>
      </c>
      <c r="N14" s="19">
        <v>5</v>
      </c>
      <c r="O14" s="19">
        <v>1</v>
      </c>
      <c r="P14" s="19">
        <v>1</v>
      </c>
      <c r="Q14" s="19">
        <v>1</v>
      </c>
      <c r="R14" s="19">
        <v>3</v>
      </c>
      <c r="S14" s="19">
        <v>5</v>
      </c>
    </row>
    <row r="15" spans="1:21" x14ac:dyDescent="0.25">
      <c r="A15" s="63"/>
      <c r="B15" s="66"/>
      <c r="C15" s="60"/>
      <c r="D15" s="19">
        <v>1</v>
      </c>
      <c r="E15" s="19">
        <v>10</v>
      </c>
      <c r="F15" s="19">
        <v>158.57560000000001</v>
      </c>
      <c r="G15" s="19">
        <v>0.80650999999999995</v>
      </c>
      <c r="H15" s="19">
        <v>8.6319000000000007E-2</v>
      </c>
      <c r="I15" s="19">
        <v>23.672499999999999</v>
      </c>
      <c r="J15" s="19">
        <v>4.1120999999999999</v>
      </c>
      <c r="K15" s="19">
        <v>1315.8915999999999</v>
      </c>
      <c r="L15" s="19">
        <v>2442.6498999999999</v>
      </c>
      <c r="M15" s="19">
        <v>5</v>
      </c>
      <c r="N15" s="19">
        <v>5</v>
      </c>
      <c r="O15" s="19">
        <v>1</v>
      </c>
      <c r="P15" s="19">
        <v>1</v>
      </c>
      <c r="Q15" s="19">
        <v>1</v>
      </c>
      <c r="R15" s="19">
        <v>5</v>
      </c>
      <c r="S15" s="19">
        <v>5</v>
      </c>
    </row>
    <row r="16" spans="1:21" x14ac:dyDescent="0.25">
      <c r="A16" s="63"/>
      <c r="B16" s="66"/>
      <c r="C16" s="60"/>
      <c r="D16" s="19">
        <v>5</v>
      </c>
      <c r="E16" s="19">
        <v>20</v>
      </c>
      <c r="F16" s="19">
        <v>157.8347</v>
      </c>
      <c r="G16" s="19">
        <v>0.80434000000000005</v>
      </c>
      <c r="H16" s="19">
        <v>0.10177</v>
      </c>
      <c r="I16" s="19">
        <v>18.340299999999999</v>
      </c>
      <c r="J16" s="19">
        <v>3.6288999999999998</v>
      </c>
      <c r="K16" s="19">
        <v>1439.5744999999999</v>
      </c>
      <c r="L16" s="19">
        <v>2702.0551</v>
      </c>
      <c r="M16" s="19">
        <v>5</v>
      </c>
      <c r="N16" s="19">
        <v>5</v>
      </c>
      <c r="O16" s="19">
        <v>1</v>
      </c>
      <c r="P16" s="19">
        <v>2</v>
      </c>
      <c r="Q16" s="19">
        <v>1</v>
      </c>
      <c r="R16" s="19">
        <v>4</v>
      </c>
      <c r="S16" s="19">
        <v>5</v>
      </c>
    </row>
    <row r="17" spans="1:19" x14ac:dyDescent="0.25">
      <c r="A17" s="63"/>
      <c r="B17" s="66"/>
      <c r="C17" s="60"/>
      <c r="D17" s="19">
        <v>2</v>
      </c>
      <c r="E17" s="19">
        <v>25</v>
      </c>
      <c r="F17" s="19">
        <v>159.28039999999999</v>
      </c>
      <c r="G17" s="19">
        <v>0.79308000000000001</v>
      </c>
      <c r="H17" s="19">
        <v>7.3120000000000004E-2</v>
      </c>
      <c r="I17" s="19">
        <v>27.5382</v>
      </c>
      <c r="J17" s="19">
        <v>4.45</v>
      </c>
      <c r="K17" s="19">
        <v>1185.1548</v>
      </c>
      <c r="L17" s="19">
        <v>2271.7446</v>
      </c>
      <c r="M17" s="19">
        <v>5</v>
      </c>
      <c r="N17" s="19">
        <v>5</v>
      </c>
      <c r="O17" s="19">
        <v>1</v>
      </c>
      <c r="P17" s="19">
        <v>1</v>
      </c>
      <c r="Q17" s="19">
        <v>1</v>
      </c>
      <c r="R17" s="19">
        <v>5</v>
      </c>
      <c r="S17" s="19">
        <v>5</v>
      </c>
    </row>
    <row r="18" spans="1:19" x14ac:dyDescent="0.25">
      <c r="A18" s="63"/>
      <c r="B18" s="66"/>
      <c r="C18" s="60"/>
      <c r="D18" s="19">
        <v>4</v>
      </c>
      <c r="E18" s="19">
        <v>30</v>
      </c>
      <c r="F18" s="19">
        <v>156.13679999999999</v>
      </c>
      <c r="G18" s="19">
        <v>0.80659999999999998</v>
      </c>
      <c r="H18" s="19">
        <v>9.5612000000000003E-2</v>
      </c>
      <c r="I18" s="19">
        <v>19.712900000000001</v>
      </c>
      <c r="J18" s="19">
        <v>3.7389000000000001</v>
      </c>
      <c r="K18" s="19">
        <v>1412.7388000000001</v>
      </c>
      <c r="L18" s="19">
        <v>2595.585</v>
      </c>
      <c r="M18" s="19">
        <v>5</v>
      </c>
      <c r="N18" s="19">
        <v>4</v>
      </c>
      <c r="O18" s="19">
        <v>1</v>
      </c>
      <c r="P18" s="19">
        <v>1</v>
      </c>
      <c r="Q18" s="19">
        <v>1</v>
      </c>
      <c r="R18" s="19">
        <v>5</v>
      </c>
      <c r="S18" s="19">
        <v>5</v>
      </c>
    </row>
    <row r="19" spans="1:19" x14ac:dyDescent="0.25">
      <c r="A19" s="63"/>
      <c r="B19" s="66"/>
      <c r="C19" s="60"/>
      <c r="D19" s="19">
        <v>3</v>
      </c>
      <c r="E19" s="19">
        <v>25</v>
      </c>
      <c r="F19" s="19">
        <v>154.6002</v>
      </c>
      <c r="G19" s="19">
        <v>0.8458</v>
      </c>
      <c r="H19" s="19">
        <v>0.14432</v>
      </c>
      <c r="I19" s="19">
        <v>17.902999999999999</v>
      </c>
      <c r="J19" s="19">
        <v>3.6440000000000001</v>
      </c>
      <c r="K19" s="19">
        <v>1731.0539000000001</v>
      </c>
      <c r="L19" s="19">
        <v>3117.5358999999999</v>
      </c>
      <c r="M19" s="19">
        <v>5</v>
      </c>
      <c r="N19" s="19">
        <v>5</v>
      </c>
      <c r="O19" s="19">
        <v>1</v>
      </c>
      <c r="P19" s="19">
        <v>1</v>
      </c>
      <c r="Q19" s="19">
        <v>1</v>
      </c>
      <c r="R19" s="19">
        <v>4</v>
      </c>
      <c r="S19" s="19">
        <v>5</v>
      </c>
    </row>
    <row r="20" spans="1:19" x14ac:dyDescent="0.25">
      <c r="A20" s="63"/>
      <c r="B20" s="66"/>
      <c r="C20" s="60"/>
      <c r="D20" s="19">
        <v>7</v>
      </c>
      <c r="E20" s="19">
        <v>40</v>
      </c>
      <c r="F20" s="19">
        <v>150.31190000000001</v>
      </c>
      <c r="G20" s="19">
        <v>0.79703999999999997</v>
      </c>
      <c r="H20" s="19">
        <v>8.5545999999999997E-2</v>
      </c>
      <c r="I20" s="19">
        <v>21.055099999999999</v>
      </c>
      <c r="J20" s="19">
        <v>3.8814000000000002</v>
      </c>
      <c r="K20" s="19">
        <v>1300.6120000000001</v>
      </c>
      <c r="L20" s="19">
        <v>2485.0752000000002</v>
      </c>
      <c r="M20" s="19">
        <v>5</v>
      </c>
      <c r="N20" s="19">
        <v>5</v>
      </c>
      <c r="O20" s="19">
        <v>1</v>
      </c>
      <c r="P20" s="19">
        <v>1</v>
      </c>
      <c r="Q20" s="19">
        <v>1</v>
      </c>
      <c r="R20" s="19">
        <v>4</v>
      </c>
      <c r="S20" s="19">
        <v>4</v>
      </c>
    </row>
    <row r="21" spans="1:19" x14ac:dyDescent="0.25">
      <c r="A21" s="63"/>
      <c r="B21" s="66"/>
      <c r="C21" s="60"/>
      <c r="D21" s="19">
        <v>8</v>
      </c>
      <c r="E21" s="19">
        <v>60</v>
      </c>
      <c r="F21" s="19">
        <v>151.3604</v>
      </c>
      <c r="G21" s="19">
        <v>0.80430000000000001</v>
      </c>
      <c r="H21" s="19">
        <v>9.4277E-2</v>
      </c>
      <c r="I21" s="19">
        <v>20.054300000000001</v>
      </c>
      <c r="J21" s="19">
        <v>3.778</v>
      </c>
      <c r="K21" s="19">
        <v>1394.0513000000001</v>
      </c>
      <c r="L21" s="19">
        <v>2592.5709999999999</v>
      </c>
      <c r="M21" s="19">
        <v>5</v>
      </c>
      <c r="N21" s="19">
        <v>5</v>
      </c>
      <c r="O21" s="19">
        <v>1</v>
      </c>
      <c r="P21" s="19">
        <v>1</v>
      </c>
      <c r="Q21" s="19">
        <v>1</v>
      </c>
      <c r="R21" s="19">
        <v>3</v>
      </c>
      <c r="S21" s="19">
        <v>4</v>
      </c>
    </row>
    <row r="22" spans="1:19" x14ac:dyDescent="0.25">
      <c r="A22" s="63"/>
      <c r="B22" s="66"/>
      <c r="C22" s="60"/>
      <c r="D22" s="19">
        <v>9</v>
      </c>
      <c r="E22" s="19">
        <v>80</v>
      </c>
      <c r="F22" s="19">
        <v>137.8485</v>
      </c>
      <c r="G22" s="19">
        <v>0.79986000000000002</v>
      </c>
      <c r="H22" s="19">
        <v>8.6447999999999997E-2</v>
      </c>
      <c r="I22" s="19">
        <v>22.3657</v>
      </c>
      <c r="J22" s="19">
        <v>4.0060000000000002</v>
      </c>
      <c r="K22" s="19">
        <v>1315.8151</v>
      </c>
      <c r="L22" s="19">
        <v>2475.2981</v>
      </c>
      <c r="M22" s="19">
        <v>5</v>
      </c>
      <c r="N22" s="19">
        <v>5</v>
      </c>
      <c r="O22" s="19">
        <v>1</v>
      </c>
      <c r="P22" s="19">
        <v>1</v>
      </c>
      <c r="Q22" s="19">
        <v>1</v>
      </c>
      <c r="R22" s="19">
        <v>4</v>
      </c>
      <c r="S22" s="19">
        <v>5</v>
      </c>
    </row>
    <row r="23" spans="1:19" ht="15.75" thickBot="1" x14ac:dyDescent="0.3">
      <c r="A23" s="64"/>
      <c r="B23" s="67"/>
      <c r="C23" s="61"/>
      <c r="D23" s="19">
        <v>10</v>
      </c>
      <c r="E23" s="19">
        <v>120</v>
      </c>
      <c r="F23" s="30">
        <v>158.57560000000001</v>
      </c>
      <c r="G23" s="30">
        <v>0.80910000000000004</v>
      </c>
      <c r="H23" s="30">
        <v>9.9131999999999998E-2</v>
      </c>
      <c r="I23" s="30">
        <v>18.2288</v>
      </c>
      <c r="J23" s="30">
        <v>3.6042000000000001</v>
      </c>
      <c r="K23" s="30">
        <v>1455.7365</v>
      </c>
      <c r="L23" s="30">
        <v>2658.9041000000002</v>
      </c>
      <c r="M23" s="19">
        <v>5</v>
      </c>
      <c r="N23" s="19">
        <v>4</v>
      </c>
      <c r="O23" s="19">
        <v>2</v>
      </c>
      <c r="P23" s="19">
        <v>1</v>
      </c>
      <c r="Q23" s="19">
        <v>1</v>
      </c>
      <c r="R23" s="19">
        <v>4</v>
      </c>
      <c r="S23" s="19">
        <v>3</v>
      </c>
    </row>
    <row r="24" spans="1:19" ht="15.75" thickBot="1" x14ac:dyDescent="0.3">
      <c r="B24" s="8"/>
      <c r="F24" s="45" t="s">
        <v>24</v>
      </c>
      <c r="G24" s="46">
        <f>AVERAGE(G14:G23)</f>
        <v>0.80596199999999985</v>
      </c>
      <c r="H24" s="46">
        <f t="shared" ref="H24:L24" si="1">AVERAGE(H14:H23)</f>
        <v>9.5517500000000005E-2</v>
      </c>
      <c r="I24" s="46">
        <f t="shared" si="1"/>
        <v>21.034550000000003</v>
      </c>
      <c r="J24" s="46">
        <f t="shared" si="1"/>
        <v>3.8806799999999995</v>
      </c>
      <c r="K24" s="46">
        <f t="shared" si="1"/>
        <v>1382.8796699999998</v>
      </c>
      <c r="L24" s="47">
        <f t="shared" si="1"/>
        <v>2587.5907299999999</v>
      </c>
    </row>
    <row r="26" spans="1:19" ht="15.75" thickBot="1" x14ac:dyDescent="0.3"/>
    <row r="27" spans="1:19" s="71" customFormat="1" ht="29.25" thickBot="1" x14ac:dyDescent="0.5">
      <c r="A27" s="68" t="s">
        <v>59</v>
      </c>
      <c r="B27" s="69"/>
      <c r="C27" s="70" t="s">
        <v>60</v>
      </c>
      <c r="F27" s="72"/>
    </row>
  </sheetData>
  <mergeCells count="8">
    <mergeCell ref="M1:S1"/>
    <mergeCell ref="B3:B12"/>
    <mergeCell ref="B14:B23"/>
    <mergeCell ref="A3:A12"/>
    <mergeCell ref="A14:A23"/>
    <mergeCell ref="C3:C12"/>
    <mergeCell ref="C14:C23"/>
    <mergeCell ref="G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workbookViewId="0">
      <selection activeCell="A27" sqref="A27:XFD27"/>
    </sheetView>
  </sheetViews>
  <sheetFormatPr defaultRowHeight="15" x14ac:dyDescent="0.25"/>
  <cols>
    <col min="1" max="2" width="12.42578125" customWidth="1"/>
    <col min="3" max="3" width="12.5703125" customWidth="1"/>
    <col min="4" max="4" width="11.7109375" customWidth="1"/>
    <col min="6" max="6" width="18.5703125" customWidth="1"/>
    <col min="7" max="7" width="11.140625" customWidth="1"/>
    <col min="8" max="8" width="10.140625" customWidth="1"/>
    <col min="9" max="9" width="11" customWidth="1"/>
    <col min="10" max="10" width="12.7109375" customWidth="1"/>
    <col min="11" max="12" width="11.85546875" customWidth="1"/>
  </cols>
  <sheetData>
    <row r="1" spans="1:19" ht="15.75" thickBot="1" x14ac:dyDescent="0.3">
      <c r="A1" s="8"/>
      <c r="B1" s="8"/>
      <c r="C1" s="8"/>
      <c r="D1" s="8"/>
      <c r="E1" s="8"/>
      <c r="F1" s="9"/>
      <c r="G1" s="15" t="s">
        <v>58</v>
      </c>
      <c r="H1" s="20"/>
      <c r="I1" s="20"/>
      <c r="J1" s="20"/>
      <c r="K1" s="20"/>
      <c r="L1" s="21"/>
      <c r="M1" s="12" t="s">
        <v>57</v>
      </c>
      <c r="N1" s="13"/>
      <c r="O1" s="13"/>
      <c r="P1" s="13"/>
      <c r="Q1" s="13"/>
      <c r="R1" s="13"/>
      <c r="S1" s="14"/>
    </row>
    <row r="2" spans="1:19" x14ac:dyDescent="0.25">
      <c r="A2" s="27"/>
      <c r="B2" s="10" t="s">
        <v>64</v>
      </c>
      <c r="C2" s="31" t="s">
        <v>1</v>
      </c>
      <c r="D2" s="31" t="s">
        <v>54</v>
      </c>
      <c r="E2" s="31" t="s">
        <v>55</v>
      </c>
      <c r="F2" s="32" t="s">
        <v>56</v>
      </c>
      <c r="G2" s="33" t="s">
        <v>2</v>
      </c>
      <c r="H2" s="34" t="s">
        <v>3</v>
      </c>
      <c r="I2" s="34" t="s">
        <v>4</v>
      </c>
      <c r="J2" s="34" t="s">
        <v>5</v>
      </c>
      <c r="K2" s="34" t="s">
        <v>6</v>
      </c>
      <c r="L2" s="35" t="s">
        <v>7</v>
      </c>
      <c r="M2" s="33" t="s">
        <v>16</v>
      </c>
      <c r="N2" s="34" t="s">
        <v>17</v>
      </c>
      <c r="O2" s="34" t="s">
        <v>18</v>
      </c>
      <c r="P2" s="34" t="s">
        <v>19</v>
      </c>
      <c r="Q2" s="34" t="s">
        <v>20</v>
      </c>
      <c r="R2" s="34" t="s">
        <v>21</v>
      </c>
      <c r="S2" s="35" t="s">
        <v>22</v>
      </c>
    </row>
    <row r="3" spans="1:19" ht="15" customHeight="1" x14ac:dyDescent="0.25">
      <c r="A3" s="16" t="s">
        <v>50</v>
      </c>
      <c r="B3" s="65" t="s">
        <v>30</v>
      </c>
      <c r="C3" s="17" t="s">
        <v>47</v>
      </c>
      <c r="D3" s="19">
        <v>6</v>
      </c>
      <c r="E3" s="19">
        <v>0</v>
      </c>
      <c r="F3" s="18">
        <v>118.8886</v>
      </c>
      <c r="G3" s="19">
        <v>0.94928000000000001</v>
      </c>
      <c r="H3" s="19">
        <v>0.61838000000000004</v>
      </c>
      <c r="I3" s="19">
        <v>1.8788</v>
      </c>
      <c r="J3" s="19">
        <v>0.60789000000000004</v>
      </c>
      <c r="K3" s="19">
        <v>7496.0676999999996</v>
      </c>
      <c r="L3" s="19">
        <v>7268.5258000000003</v>
      </c>
      <c r="M3" s="19">
        <v>4</v>
      </c>
      <c r="N3" s="19">
        <v>3</v>
      </c>
      <c r="O3" s="19">
        <v>3</v>
      </c>
      <c r="P3" s="19">
        <v>1</v>
      </c>
      <c r="Q3" s="19">
        <v>1</v>
      </c>
      <c r="R3" s="19">
        <v>5</v>
      </c>
      <c r="S3" s="19">
        <v>2</v>
      </c>
    </row>
    <row r="4" spans="1:19" x14ac:dyDescent="0.25">
      <c r="A4" s="16"/>
      <c r="B4" s="66"/>
      <c r="C4" s="17"/>
      <c r="D4" s="19">
        <v>1</v>
      </c>
      <c r="E4" s="19">
        <v>10</v>
      </c>
      <c r="F4" s="18">
        <v>117.9871</v>
      </c>
      <c r="G4" s="19">
        <v>0.94149000000000005</v>
      </c>
      <c r="H4" s="19">
        <v>0.58718999999999999</v>
      </c>
      <c r="I4" s="19">
        <v>2.0979000000000001</v>
      </c>
      <c r="J4" s="19">
        <v>0.73809000000000002</v>
      </c>
      <c r="K4" s="19">
        <v>6931.0592999999999</v>
      </c>
      <c r="L4" s="19">
        <v>7124.5445</v>
      </c>
      <c r="M4" s="19">
        <v>5</v>
      </c>
      <c r="N4" s="19">
        <v>2</v>
      </c>
      <c r="O4" s="19">
        <v>4</v>
      </c>
      <c r="P4" s="19">
        <v>2</v>
      </c>
      <c r="Q4" s="19">
        <v>1</v>
      </c>
      <c r="R4" s="19">
        <v>5</v>
      </c>
      <c r="S4" s="19">
        <v>2</v>
      </c>
    </row>
    <row r="5" spans="1:19" x14ac:dyDescent="0.25">
      <c r="A5" s="16"/>
      <c r="B5" s="66"/>
      <c r="C5" s="17"/>
      <c r="D5" s="19">
        <v>5</v>
      </c>
      <c r="E5" s="19">
        <v>20</v>
      </c>
      <c r="F5" s="18">
        <v>113.96550000000001</v>
      </c>
      <c r="G5" s="19">
        <v>0.93991000000000002</v>
      </c>
      <c r="H5" s="19">
        <v>0.60484000000000004</v>
      </c>
      <c r="I5" s="19">
        <v>1.8714</v>
      </c>
      <c r="J5" s="19">
        <v>0.59672000000000003</v>
      </c>
      <c r="K5" s="19">
        <v>7449.8316000000004</v>
      </c>
      <c r="L5" s="19">
        <v>7286.2848000000004</v>
      </c>
      <c r="M5" s="19">
        <v>3</v>
      </c>
      <c r="N5" s="19">
        <v>3</v>
      </c>
      <c r="O5" s="19">
        <v>4</v>
      </c>
      <c r="P5" s="19">
        <v>1</v>
      </c>
      <c r="Q5" s="19">
        <v>1</v>
      </c>
      <c r="R5" s="19">
        <v>5</v>
      </c>
      <c r="S5" s="19">
        <v>3</v>
      </c>
    </row>
    <row r="6" spans="1:19" x14ac:dyDescent="0.25">
      <c r="A6" s="16"/>
      <c r="B6" s="66"/>
      <c r="C6" s="17"/>
      <c r="D6" s="19">
        <v>2</v>
      </c>
      <c r="E6" s="19">
        <v>25</v>
      </c>
      <c r="F6" s="18">
        <v>112.3447</v>
      </c>
      <c r="G6" s="19">
        <v>0.93974999999999997</v>
      </c>
      <c r="H6" s="19">
        <v>0.60374000000000005</v>
      </c>
      <c r="I6" s="19">
        <v>1.8764000000000001</v>
      </c>
      <c r="J6" s="19">
        <v>0.59794999999999998</v>
      </c>
      <c r="K6" s="19">
        <v>7437.4871000000003</v>
      </c>
      <c r="L6" s="19">
        <v>7286.0874000000003</v>
      </c>
      <c r="M6" s="19">
        <v>4</v>
      </c>
      <c r="N6" s="19">
        <v>3</v>
      </c>
      <c r="O6" s="19">
        <v>3</v>
      </c>
      <c r="P6" s="19">
        <v>1</v>
      </c>
      <c r="Q6" s="19">
        <v>3</v>
      </c>
      <c r="R6" s="19">
        <v>5</v>
      </c>
      <c r="S6" s="19">
        <v>3</v>
      </c>
    </row>
    <row r="7" spans="1:19" x14ac:dyDescent="0.25">
      <c r="A7" s="16"/>
      <c r="B7" s="66"/>
      <c r="C7" s="17"/>
      <c r="D7" s="19">
        <v>4</v>
      </c>
      <c r="E7" s="19">
        <v>30</v>
      </c>
      <c r="F7" s="18">
        <v>116.3242</v>
      </c>
      <c r="G7" s="19">
        <v>0.94244000000000006</v>
      </c>
      <c r="H7" s="19">
        <v>0.61294999999999999</v>
      </c>
      <c r="I7" s="19">
        <v>1.8472</v>
      </c>
      <c r="J7" s="19">
        <v>0.57350000000000001</v>
      </c>
      <c r="K7" s="19">
        <v>7555.0888999999997</v>
      </c>
      <c r="L7" s="19">
        <v>7281.5785999999998</v>
      </c>
      <c r="M7" s="19">
        <v>4</v>
      </c>
      <c r="N7" s="19">
        <v>3</v>
      </c>
      <c r="O7" s="19">
        <v>4</v>
      </c>
      <c r="P7" s="19">
        <v>1</v>
      </c>
      <c r="Q7" s="19">
        <v>1</v>
      </c>
      <c r="R7" s="19">
        <v>5</v>
      </c>
      <c r="S7" s="19">
        <v>3</v>
      </c>
    </row>
    <row r="8" spans="1:19" x14ac:dyDescent="0.25">
      <c r="A8" s="16"/>
      <c r="B8" s="66"/>
      <c r="C8" s="17"/>
      <c r="D8" s="19">
        <v>3</v>
      </c>
      <c r="E8" s="19">
        <v>25</v>
      </c>
      <c r="F8" s="18">
        <v>113.361</v>
      </c>
      <c r="G8" s="19">
        <v>0.94425999999999999</v>
      </c>
      <c r="H8" s="19">
        <v>0.60599999999999998</v>
      </c>
      <c r="I8" s="19">
        <v>1.8748</v>
      </c>
      <c r="J8" s="19">
        <v>0.60272000000000003</v>
      </c>
      <c r="K8" s="19">
        <v>7443.7205000000004</v>
      </c>
      <c r="L8" s="19">
        <v>7289.9387999999999</v>
      </c>
      <c r="M8" s="19">
        <v>3</v>
      </c>
      <c r="N8" s="19">
        <v>2</v>
      </c>
      <c r="O8" s="19">
        <v>3</v>
      </c>
      <c r="P8" s="19">
        <v>1</v>
      </c>
      <c r="Q8" s="19">
        <v>3</v>
      </c>
      <c r="R8" s="19">
        <v>5</v>
      </c>
      <c r="S8" s="19">
        <v>4</v>
      </c>
    </row>
    <row r="9" spans="1:19" x14ac:dyDescent="0.25">
      <c r="A9" s="16"/>
      <c r="B9" s="66"/>
      <c r="C9" s="17"/>
      <c r="D9" s="19">
        <v>7</v>
      </c>
      <c r="E9" s="19">
        <v>40</v>
      </c>
      <c r="F9" s="18">
        <v>112.5737</v>
      </c>
      <c r="G9" s="19">
        <v>0.94296999999999997</v>
      </c>
      <c r="H9" s="19">
        <v>0.62119000000000002</v>
      </c>
      <c r="I9" s="19">
        <v>1.8406</v>
      </c>
      <c r="J9" s="19">
        <v>0.55786000000000002</v>
      </c>
      <c r="K9" s="19">
        <v>7596.53</v>
      </c>
      <c r="L9" s="19">
        <v>7275.7875999999997</v>
      </c>
      <c r="M9" s="19">
        <v>3</v>
      </c>
      <c r="N9" s="19">
        <v>3</v>
      </c>
      <c r="O9" s="19">
        <v>3</v>
      </c>
      <c r="P9" s="19">
        <v>1</v>
      </c>
      <c r="Q9" s="19">
        <v>1</v>
      </c>
      <c r="R9" s="19">
        <v>5</v>
      </c>
      <c r="S9" s="19">
        <v>3</v>
      </c>
    </row>
    <row r="10" spans="1:19" x14ac:dyDescent="0.25">
      <c r="A10" s="16"/>
      <c r="B10" s="66"/>
      <c r="C10" s="17"/>
      <c r="D10" s="19">
        <v>8</v>
      </c>
      <c r="E10" s="19">
        <v>60</v>
      </c>
      <c r="F10" s="18">
        <v>107.13939999999999</v>
      </c>
      <c r="G10" s="19">
        <v>0.94786000000000004</v>
      </c>
      <c r="H10" s="19">
        <v>0.63768999999999998</v>
      </c>
      <c r="I10" s="19">
        <v>1.7718</v>
      </c>
      <c r="J10" s="19">
        <v>0.49529000000000001</v>
      </c>
      <c r="K10" s="19">
        <v>7928.5956999999999</v>
      </c>
      <c r="L10" s="19">
        <v>7312.9224000000004</v>
      </c>
      <c r="M10" s="19">
        <v>2</v>
      </c>
      <c r="N10" s="19">
        <v>3</v>
      </c>
      <c r="O10" s="19">
        <v>5</v>
      </c>
      <c r="P10" s="19">
        <v>1</v>
      </c>
      <c r="Q10" s="19">
        <v>2</v>
      </c>
      <c r="R10" s="19">
        <v>5</v>
      </c>
      <c r="S10" s="19">
        <v>4</v>
      </c>
    </row>
    <row r="11" spans="1:19" x14ac:dyDescent="0.25">
      <c r="A11" s="16"/>
      <c r="B11" s="66"/>
      <c r="C11" s="17"/>
      <c r="D11" s="19">
        <v>9</v>
      </c>
      <c r="E11" s="19">
        <v>80</v>
      </c>
      <c r="F11" s="18">
        <v>104.97150000000001</v>
      </c>
      <c r="G11" s="19">
        <v>0.93905000000000005</v>
      </c>
      <c r="H11" s="19">
        <v>0.58248999999999995</v>
      </c>
      <c r="I11" s="19">
        <v>2.0611999999999999</v>
      </c>
      <c r="J11" s="19">
        <v>0.73475000000000001</v>
      </c>
      <c r="K11" s="19">
        <v>7018.6958000000004</v>
      </c>
      <c r="L11" s="19">
        <v>7155.5739000000003</v>
      </c>
      <c r="M11" s="19">
        <v>1</v>
      </c>
      <c r="N11" s="19">
        <v>2</v>
      </c>
      <c r="O11" s="19">
        <v>5</v>
      </c>
      <c r="P11" s="19">
        <v>1</v>
      </c>
      <c r="Q11" s="19">
        <v>3</v>
      </c>
      <c r="R11" s="19">
        <v>5</v>
      </c>
      <c r="S11" s="19">
        <v>5</v>
      </c>
    </row>
    <row r="12" spans="1:19" ht="15.75" thickBot="1" x14ac:dyDescent="0.3">
      <c r="A12" s="16"/>
      <c r="B12" s="67"/>
      <c r="C12" s="17"/>
      <c r="D12" s="19">
        <v>10</v>
      </c>
      <c r="E12" s="19">
        <v>120</v>
      </c>
      <c r="F12" s="26">
        <v>101.91330000000001</v>
      </c>
      <c r="G12" s="30">
        <v>0.94862000000000002</v>
      </c>
      <c r="H12" s="30">
        <v>0.64129000000000003</v>
      </c>
      <c r="I12" s="30">
        <v>1.8180000000000001</v>
      </c>
      <c r="J12" s="30">
        <v>0.52432000000000001</v>
      </c>
      <c r="K12" s="30">
        <v>7837.5535</v>
      </c>
      <c r="L12" s="30">
        <v>7242.4786999999997</v>
      </c>
      <c r="M12" s="19">
        <v>1</v>
      </c>
      <c r="N12" s="19">
        <v>2</v>
      </c>
      <c r="O12" s="19">
        <v>5</v>
      </c>
      <c r="P12" s="19">
        <v>1</v>
      </c>
      <c r="Q12" s="19">
        <v>4</v>
      </c>
      <c r="R12" s="19">
        <v>5</v>
      </c>
      <c r="S12" s="19">
        <v>5</v>
      </c>
    </row>
    <row r="13" spans="1:19" ht="15.75" thickBot="1" x14ac:dyDescent="0.3">
      <c r="A13" s="8"/>
      <c r="B13" s="8"/>
      <c r="F13" s="29" t="s">
        <v>24</v>
      </c>
      <c r="G13" s="38">
        <f>AVERAGE(G3:G12)</f>
        <v>0.94356300000000015</v>
      </c>
      <c r="H13" s="38">
        <f t="shared" ref="H13:L13" si="0">AVERAGE(H3:H12)</f>
        <v>0.61157600000000001</v>
      </c>
      <c r="I13" s="38">
        <f t="shared" si="0"/>
        <v>1.8938100000000002</v>
      </c>
      <c r="J13" s="38">
        <f t="shared" si="0"/>
        <v>0.60290900000000003</v>
      </c>
      <c r="K13" s="38">
        <f t="shared" si="0"/>
        <v>7469.4630099999995</v>
      </c>
      <c r="L13" s="39">
        <f t="shared" si="0"/>
        <v>7252.3722500000003</v>
      </c>
    </row>
    <row r="14" spans="1:19" ht="15" customHeight="1" x14ac:dyDescent="0.25">
      <c r="A14" s="16" t="s">
        <v>49</v>
      </c>
      <c r="B14" s="65" t="s">
        <v>29</v>
      </c>
      <c r="C14" s="17" t="s">
        <v>47</v>
      </c>
      <c r="D14" s="19">
        <v>6</v>
      </c>
      <c r="E14" s="19">
        <v>0</v>
      </c>
      <c r="F14" s="28">
        <v>113.4742</v>
      </c>
      <c r="G14" s="28">
        <v>0.75790000000000002</v>
      </c>
      <c r="H14" s="28">
        <v>8.3349999999999994E-2</v>
      </c>
      <c r="I14" s="28">
        <v>25.481100000000001</v>
      </c>
      <c r="J14" s="28">
        <v>4.6551</v>
      </c>
      <c r="K14" s="28">
        <v>1018.2884</v>
      </c>
      <c r="L14" s="28">
        <v>2859.8000999999999</v>
      </c>
      <c r="M14" s="19">
        <v>5</v>
      </c>
      <c r="N14" s="19"/>
      <c r="O14" s="19">
        <v>1</v>
      </c>
      <c r="P14" s="19">
        <v>1</v>
      </c>
      <c r="Q14" s="19">
        <v>1</v>
      </c>
      <c r="R14" s="19">
        <v>5</v>
      </c>
      <c r="S14" s="19">
        <v>3</v>
      </c>
    </row>
    <row r="15" spans="1:19" x14ac:dyDescent="0.25">
      <c r="A15" s="16"/>
      <c r="B15" s="66"/>
      <c r="C15" s="17"/>
      <c r="D15" s="19">
        <v>1</v>
      </c>
      <c r="E15" s="19">
        <v>10</v>
      </c>
      <c r="F15" s="19">
        <v>119.7637</v>
      </c>
      <c r="G15" s="19">
        <v>0.77237</v>
      </c>
      <c r="H15" s="19">
        <v>8.5746000000000003E-2</v>
      </c>
      <c r="I15" s="19">
        <v>25.604600000000001</v>
      </c>
      <c r="J15" s="19">
        <v>4.6474000000000002</v>
      </c>
      <c r="K15" s="19">
        <v>1021.8566</v>
      </c>
      <c r="L15" s="19">
        <v>2834.451</v>
      </c>
      <c r="M15" s="19">
        <v>5</v>
      </c>
      <c r="N15" s="19">
        <v>3</v>
      </c>
      <c r="O15" s="19">
        <v>1</v>
      </c>
      <c r="P15" s="19">
        <v>2</v>
      </c>
      <c r="Q15" s="19">
        <v>1</v>
      </c>
      <c r="R15" s="19">
        <v>5</v>
      </c>
      <c r="S15" s="19">
        <v>1</v>
      </c>
    </row>
    <row r="16" spans="1:19" x14ac:dyDescent="0.25">
      <c r="A16" s="16"/>
      <c r="B16" s="66"/>
      <c r="C16" s="17"/>
      <c r="D16" s="19">
        <v>5</v>
      </c>
      <c r="E16" s="19">
        <v>20</v>
      </c>
      <c r="F16" s="19">
        <v>114.0017</v>
      </c>
      <c r="G16" s="19">
        <v>0.74136000000000002</v>
      </c>
      <c r="H16" s="19">
        <v>8.3562999999999998E-2</v>
      </c>
      <c r="I16" s="19">
        <v>23.4956</v>
      </c>
      <c r="J16" s="19">
        <v>4.4715999999999996</v>
      </c>
      <c r="K16" s="19">
        <v>1016.8046000000001</v>
      </c>
      <c r="L16" s="19">
        <v>2966.5383999999999</v>
      </c>
      <c r="M16" s="19">
        <v>4</v>
      </c>
      <c r="N16" s="19">
        <v>3</v>
      </c>
      <c r="O16" s="19">
        <v>1</v>
      </c>
      <c r="P16" s="19">
        <v>1</v>
      </c>
      <c r="Q16" s="19">
        <v>1</v>
      </c>
      <c r="R16" s="19">
        <v>4</v>
      </c>
      <c r="S16" s="19">
        <v>4</v>
      </c>
    </row>
    <row r="17" spans="1:19" x14ac:dyDescent="0.25">
      <c r="A17" s="16"/>
      <c r="B17" s="66"/>
      <c r="C17" s="17"/>
      <c r="D17" s="19">
        <v>2</v>
      </c>
      <c r="E17" s="19">
        <v>25</v>
      </c>
      <c r="F17" s="19">
        <v>109.2496</v>
      </c>
      <c r="G17" s="19">
        <v>0.7601</v>
      </c>
      <c r="H17" s="19">
        <v>8.7252999999999997E-2</v>
      </c>
      <c r="I17" s="19">
        <v>24.149000000000001</v>
      </c>
      <c r="J17" s="19">
        <v>4.5270999999999999</v>
      </c>
      <c r="K17" s="19">
        <v>1043.4640999999999</v>
      </c>
      <c r="L17" s="19">
        <v>2928.2489</v>
      </c>
      <c r="M17" s="19">
        <v>5</v>
      </c>
      <c r="N17" s="19">
        <v>3</v>
      </c>
      <c r="O17" s="19">
        <v>1</v>
      </c>
      <c r="P17" s="19">
        <v>1</v>
      </c>
      <c r="Q17" s="19">
        <v>1</v>
      </c>
      <c r="R17" s="19">
        <v>4</v>
      </c>
      <c r="S17" s="19">
        <v>4</v>
      </c>
    </row>
    <row r="18" spans="1:19" x14ac:dyDescent="0.25">
      <c r="A18" s="16"/>
      <c r="B18" s="66"/>
      <c r="C18" s="17"/>
      <c r="D18" s="19">
        <v>4</v>
      </c>
      <c r="E18" s="19">
        <v>30</v>
      </c>
      <c r="F18" s="19">
        <v>116.7046</v>
      </c>
      <c r="G18" s="19">
        <v>0.74961999999999995</v>
      </c>
      <c r="H18" s="19">
        <v>7.6407000000000003E-2</v>
      </c>
      <c r="I18" s="19">
        <v>28.15</v>
      </c>
      <c r="J18" s="19">
        <v>4.9119000000000002</v>
      </c>
      <c r="K18" s="19">
        <v>945.77539999999999</v>
      </c>
      <c r="L18" s="19">
        <v>2761.6262999999999</v>
      </c>
      <c r="M18" s="19">
        <v>4</v>
      </c>
      <c r="N18" s="19">
        <v>3</v>
      </c>
      <c r="O18" s="19">
        <v>1</v>
      </c>
      <c r="P18" s="19">
        <v>1</v>
      </c>
      <c r="Q18" s="19">
        <v>1</v>
      </c>
      <c r="R18" s="19">
        <v>4</v>
      </c>
      <c r="S18" s="19">
        <v>3</v>
      </c>
    </row>
    <row r="19" spans="1:19" x14ac:dyDescent="0.25">
      <c r="A19" s="16"/>
      <c r="B19" s="66"/>
      <c r="C19" s="17"/>
      <c r="D19" s="19">
        <v>3</v>
      </c>
      <c r="E19" s="19">
        <v>25</v>
      </c>
      <c r="F19" s="19">
        <v>114.2304</v>
      </c>
      <c r="G19" s="19">
        <v>0.76875000000000004</v>
      </c>
      <c r="H19" s="19">
        <v>8.8327000000000003E-2</v>
      </c>
      <c r="I19" s="19">
        <v>23.8566</v>
      </c>
      <c r="J19" s="19">
        <v>4.5018000000000002</v>
      </c>
      <c r="K19" s="19">
        <v>1049.2384999999999</v>
      </c>
      <c r="L19" s="19">
        <v>2973.1028000000001</v>
      </c>
      <c r="M19" s="19">
        <v>4</v>
      </c>
      <c r="N19" s="19">
        <v>3</v>
      </c>
      <c r="O19" s="19">
        <v>1</v>
      </c>
      <c r="P19" s="19">
        <v>1</v>
      </c>
      <c r="Q19" s="19">
        <v>1</v>
      </c>
      <c r="R19" s="19">
        <v>5</v>
      </c>
      <c r="S19" s="19">
        <v>3</v>
      </c>
    </row>
    <row r="20" spans="1:19" x14ac:dyDescent="0.25">
      <c r="A20" s="16"/>
      <c r="B20" s="66"/>
      <c r="C20" s="17"/>
      <c r="D20" s="19">
        <v>7</v>
      </c>
      <c r="E20" s="19">
        <v>40</v>
      </c>
      <c r="F20" s="19">
        <v>114.1067</v>
      </c>
      <c r="G20" s="19">
        <v>0.75739999999999996</v>
      </c>
      <c r="H20" s="19">
        <v>7.5916999999999998E-2</v>
      </c>
      <c r="I20" s="19">
        <v>28.759599999999999</v>
      </c>
      <c r="J20" s="19">
        <v>4.9718999999999998</v>
      </c>
      <c r="K20" s="19">
        <v>976.88969999999995</v>
      </c>
      <c r="L20" s="19">
        <v>2747.4647</v>
      </c>
      <c r="M20" s="19">
        <v>5</v>
      </c>
      <c r="N20" s="19">
        <v>3</v>
      </c>
      <c r="O20" s="19">
        <v>1</v>
      </c>
      <c r="P20" s="19">
        <v>1</v>
      </c>
      <c r="Q20" s="19">
        <v>1</v>
      </c>
      <c r="R20" s="19">
        <v>5</v>
      </c>
      <c r="S20" s="19">
        <v>4</v>
      </c>
    </row>
    <row r="21" spans="1:19" x14ac:dyDescent="0.25">
      <c r="A21" s="16"/>
      <c r="B21" s="66"/>
      <c r="C21" s="17"/>
      <c r="D21" s="19">
        <v>8</v>
      </c>
      <c r="E21" s="19">
        <v>60</v>
      </c>
      <c r="F21" s="19">
        <v>100.1143</v>
      </c>
      <c r="G21" s="19">
        <v>0.75924999999999998</v>
      </c>
      <c r="H21" s="19">
        <v>8.5300000000000001E-2</v>
      </c>
      <c r="I21" s="19">
        <v>25.256599999999999</v>
      </c>
      <c r="J21" s="19">
        <v>4.6429999999999998</v>
      </c>
      <c r="K21" s="19">
        <v>1045.0266999999999</v>
      </c>
      <c r="L21" s="19">
        <v>2917.9724000000001</v>
      </c>
      <c r="M21" s="19">
        <v>4</v>
      </c>
      <c r="N21" s="19">
        <v>3</v>
      </c>
      <c r="O21" s="19">
        <v>1</v>
      </c>
      <c r="P21" s="19">
        <v>1</v>
      </c>
      <c r="Q21" s="19">
        <v>1</v>
      </c>
      <c r="R21" s="19">
        <v>5</v>
      </c>
      <c r="S21" s="19">
        <v>3</v>
      </c>
    </row>
    <row r="22" spans="1:19" x14ac:dyDescent="0.25">
      <c r="A22" s="16"/>
      <c r="B22" s="66"/>
      <c r="C22" s="17"/>
      <c r="D22" s="19">
        <v>9</v>
      </c>
      <c r="E22" s="19">
        <v>80</v>
      </c>
      <c r="F22" s="19">
        <v>103.7599</v>
      </c>
      <c r="G22" s="19">
        <v>0.74805999999999995</v>
      </c>
      <c r="H22" s="19">
        <v>7.6608999999999997E-2</v>
      </c>
      <c r="I22" s="19">
        <v>28.765799999999999</v>
      </c>
      <c r="J22" s="19">
        <v>4.9749999999999996</v>
      </c>
      <c r="K22" s="19">
        <v>952.0498</v>
      </c>
      <c r="L22" s="19">
        <v>2775.6075999999998</v>
      </c>
      <c r="M22" s="19">
        <v>5</v>
      </c>
      <c r="N22" s="19">
        <v>1</v>
      </c>
      <c r="O22" s="19">
        <v>1</v>
      </c>
      <c r="P22" s="19">
        <v>1</v>
      </c>
      <c r="Q22" s="19">
        <v>1</v>
      </c>
      <c r="R22" s="19">
        <v>5</v>
      </c>
      <c r="S22" s="19">
        <v>4</v>
      </c>
    </row>
    <row r="23" spans="1:19" ht="15.75" thickBot="1" x14ac:dyDescent="0.3">
      <c r="A23" s="16"/>
      <c r="B23" s="67"/>
      <c r="C23" s="17"/>
      <c r="D23" s="19">
        <v>10</v>
      </c>
      <c r="E23" s="19">
        <v>120</v>
      </c>
      <c r="F23" s="30">
        <v>75.471999999999994</v>
      </c>
      <c r="G23" s="30">
        <v>0.75044999999999995</v>
      </c>
      <c r="H23" s="30">
        <v>8.5688E-2</v>
      </c>
      <c r="I23" s="30">
        <v>25.524799999999999</v>
      </c>
      <c r="J23" s="30">
        <v>4.6622000000000003</v>
      </c>
      <c r="K23" s="30">
        <v>1031.6755000000001</v>
      </c>
      <c r="L23" s="30">
        <v>2920.6792999999998</v>
      </c>
      <c r="M23" s="19">
        <v>3</v>
      </c>
      <c r="N23" s="19">
        <v>3</v>
      </c>
      <c r="O23" s="19">
        <v>1</v>
      </c>
      <c r="P23" s="19">
        <v>1</v>
      </c>
      <c r="Q23" s="19">
        <v>1</v>
      </c>
      <c r="R23" s="19">
        <v>3</v>
      </c>
      <c r="S23" s="19">
        <v>5</v>
      </c>
    </row>
    <row r="24" spans="1:19" ht="15.75" thickBot="1" x14ac:dyDescent="0.3">
      <c r="B24" s="8"/>
      <c r="F24" s="29" t="s">
        <v>24</v>
      </c>
      <c r="G24" s="38">
        <f>AVERAGE(G14:G23)</f>
        <v>0.75652599999999981</v>
      </c>
      <c r="H24" s="38">
        <f t="shared" ref="H24:L24" si="1">AVERAGE(H14:H23)</f>
        <v>8.2816000000000015E-2</v>
      </c>
      <c r="I24" s="38">
        <f t="shared" si="1"/>
        <v>25.904369999999993</v>
      </c>
      <c r="J24" s="38">
        <f t="shared" si="1"/>
        <v>4.6966999999999999</v>
      </c>
      <c r="K24" s="38">
        <f t="shared" si="1"/>
        <v>1010.1069299999999</v>
      </c>
      <c r="L24" s="39">
        <f t="shared" si="1"/>
        <v>2868.5491499999998</v>
      </c>
    </row>
    <row r="26" spans="1:19" ht="15.75" thickBot="1" x14ac:dyDescent="0.3"/>
    <row r="27" spans="1:19" s="71" customFormat="1" ht="29.25" thickBot="1" x14ac:dyDescent="0.5">
      <c r="A27" s="68" t="s">
        <v>59</v>
      </c>
      <c r="B27" s="69"/>
      <c r="C27" s="70" t="s">
        <v>61</v>
      </c>
      <c r="F27" s="72"/>
    </row>
  </sheetData>
  <mergeCells count="8">
    <mergeCell ref="M1:S1"/>
    <mergeCell ref="B3:B12"/>
    <mergeCell ref="B14:B23"/>
    <mergeCell ref="A3:A12"/>
    <mergeCell ref="A14:A23"/>
    <mergeCell ref="C3:C12"/>
    <mergeCell ref="C14:C23"/>
    <mergeCell ref="G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7"/>
  <sheetViews>
    <sheetView workbookViewId="0">
      <selection activeCell="F13" sqref="F13:L13"/>
    </sheetView>
  </sheetViews>
  <sheetFormatPr defaultRowHeight="15" x14ac:dyDescent="0.25"/>
  <cols>
    <col min="1" max="2" width="12.42578125" customWidth="1"/>
    <col min="3" max="3" width="12.5703125" customWidth="1"/>
    <col min="4" max="4" width="12.140625" customWidth="1"/>
    <col min="6" max="6" width="19.85546875" customWidth="1"/>
    <col min="7" max="7" width="11.140625" customWidth="1"/>
    <col min="8" max="8" width="10.140625" customWidth="1"/>
    <col min="9" max="9" width="11" customWidth="1"/>
    <col min="10" max="10" width="12.7109375" customWidth="1"/>
    <col min="11" max="11" width="10.42578125" customWidth="1"/>
    <col min="12" max="12" width="11.85546875" customWidth="1"/>
  </cols>
  <sheetData>
    <row r="1" spans="1:19" ht="15.75" thickBot="1" x14ac:dyDescent="0.3">
      <c r="A1" s="8"/>
      <c r="B1" s="8"/>
      <c r="C1" s="8"/>
      <c r="D1" s="8"/>
      <c r="E1" s="8"/>
      <c r="F1" s="9"/>
      <c r="G1" s="15" t="s">
        <v>58</v>
      </c>
      <c r="H1" s="20"/>
      <c r="I1" s="20"/>
      <c r="J1" s="20"/>
      <c r="K1" s="20"/>
      <c r="L1" s="21"/>
      <c r="M1" s="12" t="s">
        <v>57</v>
      </c>
      <c r="N1" s="13"/>
      <c r="O1" s="13"/>
      <c r="P1" s="13"/>
      <c r="Q1" s="13"/>
      <c r="R1" s="13"/>
      <c r="S1" s="14"/>
    </row>
    <row r="2" spans="1:19" x14ac:dyDescent="0.25">
      <c r="A2" s="27"/>
      <c r="B2" s="10" t="s">
        <v>64</v>
      </c>
      <c r="C2" s="31" t="s">
        <v>1</v>
      </c>
      <c r="D2" s="31" t="s">
        <v>54</v>
      </c>
      <c r="E2" s="31" t="s">
        <v>55</v>
      </c>
      <c r="F2" s="32" t="s">
        <v>56</v>
      </c>
      <c r="G2" s="33" t="s">
        <v>2</v>
      </c>
      <c r="H2" s="34" t="s">
        <v>3</v>
      </c>
      <c r="I2" s="34" t="s">
        <v>4</v>
      </c>
      <c r="J2" s="34" t="s">
        <v>5</v>
      </c>
      <c r="K2" s="34" t="s">
        <v>6</v>
      </c>
      <c r="L2" s="35" t="s">
        <v>7</v>
      </c>
      <c r="M2" s="33" t="s">
        <v>16</v>
      </c>
      <c r="N2" s="34" t="s">
        <v>17</v>
      </c>
      <c r="O2" s="34" t="s">
        <v>18</v>
      </c>
      <c r="P2" s="34" t="s">
        <v>19</v>
      </c>
      <c r="Q2" s="34" t="s">
        <v>20</v>
      </c>
      <c r="R2" s="34" t="s">
        <v>21</v>
      </c>
      <c r="S2" s="35" t="s">
        <v>22</v>
      </c>
    </row>
    <row r="3" spans="1:19" ht="15" customHeight="1" x14ac:dyDescent="0.25">
      <c r="A3" s="16" t="s">
        <v>50</v>
      </c>
      <c r="B3" s="65" t="s">
        <v>32</v>
      </c>
      <c r="C3" s="17" t="s">
        <v>11</v>
      </c>
      <c r="D3" s="19">
        <v>6</v>
      </c>
      <c r="E3" s="19">
        <v>0</v>
      </c>
      <c r="F3" s="18">
        <v>167.04650000000001</v>
      </c>
      <c r="G3" s="19">
        <v>0.74189000000000005</v>
      </c>
      <c r="H3" s="19">
        <v>0.12515000000000001</v>
      </c>
      <c r="I3" s="19">
        <v>14.459300000000001</v>
      </c>
      <c r="J3" s="19">
        <v>3.4613</v>
      </c>
      <c r="K3" s="19">
        <v>1538.9936</v>
      </c>
      <c r="L3" s="19">
        <v>4248.2129000000004</v>
      </c>
      <c r="M3" s="19">
        <v>5</v>
      </c>
      <c r="N3" s="19">
        <v>5</v>
      </c>
      <c r="O3" s="19">
        <v>5</v>
      </c>
      <c r="P3" s="19">
        <v>1</v>
      </c>
      <c r="Q3" s="19">
        <v>1</v>
      </c>
      <c r="R3" s="19">
        <v>4</v>
      </c>
      <c r="S3" s="19">
        <v>1</v>
      </c>
    </row>
    <row r="4" spans="1:19" x14ac:dyDescent="0.25">
      <c r="A4" s="16"/>
      <c r="B4" s="66"/>
      <c r="C4" s="17"/>
      <c r="D4" s="19">
        <v>1</v>
      </c>
      <c r="E4" s="19">
        <v>10</v>
      </c>
      <c r="F4" s="18">
        <v>107.37739999999999</v>
      </c>
      <c r="G4" s="19">
        <v>0.74404000000000003</v>
      </c>
      <c r="H4" s="19">
        <v>0.13358</v>
      </c>
      <c r="I4" s="19">
        <v>12.8459</v>
      </c>
      <c r="J4" s="19">
        <v>3.2324000000000002</v>
      </c>
      <c r="K4" s="19">
        <v>1719.5604000000001</v>
      </c>
      <c r="L4" s="19">
        <v>4461.6342999999997</v>
      </c>
      <c r="M4" s="19">
        <v>5</v>
      </c>
      <c r="N4" s="19">
        <v>4</v>
      </c>
      <c r="O4" s="19">
        <v>3</v>
      </c>
      <c r="P4" s="19">
        <v>2</v>
      </c>
      <c r="Q4" s="19">
        <v>1</v>
      </c>
      <c r="R4" s="19">
        <v>4</v>
      </c>
      <c r="S4" s="19">
        <v>3</v>
      </c>
    </row>
    <row r="5" spans="1:19" x14ac:dyDescent="0.25">
      <c r="A5" s="16"/>
      <c r="B5" s="66"/>
      <c r="C5" s="17"/>
      <c r="D5" s="19">
        <v>5</v>
      </c>
      <c r="E5" s="19">
        <v>20</v>
      </c>
      <c r="F5" s="18">
        <v>191.35640000000001</v>
      </c>
      <c r="G5" s="19">
        <v>0.75714000000000004</v>
      </c>
      <c r="H5" s="19">
        <v>0.16667000000000001</v>
      </c>
      <c r="I5" s="19">
        <v>10.686500000000001</v>
      </c>
      <c r="J5" s="19">
        <v>2.9070999999999998</v>
      </c>
      <c r="K5" s="19">
        <v>1910.6134</v>
      </c>
      <c r="L5" s="19">
        <v>4639.8815000000004</v>
      </c>
      <c r="M5" s="19">
        <v>5</v>
      </c>
      <c r="N5" s="19">
        <v>4</v>
      </c>
      <c r="O5" s="19">
        <v>5</v>
      </c>
      <c r="P5" s="19">
        <v>1</v>
      </c>
      <c r="Q5" s="19">
        <v>1</v>
      </c>
      <c r="R5" s="19">
        <v>4</v>
      </c>
      <c r="S5" s="19">
        <v>1</v>
      </c>
    </row>
    <row r="6" spans="1:19" x14ac:dyDescent="0.25">
      <c r="A6" s="16"/>
      <c r="B6" s="66"/>
      <c r="C6" s="17"/>
      <c r="D6" s="19">
        <v>2</v>
      </c>
      <c r="E6" s="19">
        <v>25</v>
      </c>
      <c r="F6" s="18">
        <v>174.7782</v>
      </c>
      <c r="G6" s="19">
        <v>0.75083999999999995</v>
      </c>
      <c r="H6" s="19">
        <v>0.14846999999999999</v>
      </c>
      <c r="I6" s="19">
        <v>11.625500000000001</v>
      </c>
      <c r="J6" s="19">
        <v>3.0623</v>
      </c>
      <c r="K6" s="19">
        <v>1814.8465000000001</v>
      </c>
      <c r="L6" s="19">
        <v>4615.4346999999998</v>
      </c>
      <c r="M6" s="19">
        <v>5</v>
      </c>
      <c r="N6" s="19">
        <v>4</v>
      </c>
      <c r="O6" s="19">
        <v>3</v>
      </c>
      <c r="P6" s="19">
        <v>2</v>
      </c>
      <c r="Q6" s="19">
        <v>1</v>
      </c>
      <c r="R6" s="19">
        <v>4</v>
      </c>
      <c r="S6" s="19">
        <v>2</v>
      </c>
    </row>
    <row r="7" spans="1:19" x14ac:dyDescent="0.25">
      <c r="A7" s="16"/>
      <c r="B7" s="66"/>
      <c r="C7" s="17"/>
      <c r="D7" s="19">
        <v>4</v>
      </c>
      <c r="E7" s="19">
        <v>30</v>
      </c>
      <c r="F7" s="18">
        <v>172.56180000000001</v>
      </c>
      <c r="G7" s="19">
        <v>0.74380000000000002</v>
      </c>
      <c r="H7" s="19">
        <v>0.13758999999999999</v>
      </c>
      <c r="I7" s="19">
        <v>13.167299999999999</v>
      </c>
      <c r="J7" s="19">
        <v>3.2782</v>
      </c>
      <c r="K7" s="19">
        <v>1617.3023000000001</v>
      </c>
      <c r="L7" s="19">
        <v>4320.0731999999998</v>
      </c>
      <c r="M7" s="19">
        <v>5</v>
      </c>
      <c r="N7" s="19">
        <v>4</v>
      </c>
      <c r="O7" s="19">
        <v>4</v>
      </c>
      <c r="P7" s="19">
        <v>1</v>
      </c>
      <c r="Q7" s="19">
        <v>1</v>
      </c>
      <c r="R7" s="19">
        <v>4</v>
      </c>
      <c r="S7" s="19">
        <v>1</v>
      </c>
    </row>
    <row r="8" spans="1:19" x14ac:dyDescent="0.25">
      <c r="A8" s="16"/>
      <c r="B8" s="66"/>
      <c r="C8" s="17"/>
      <c r="D8" s="19">
        <v>3</v>
      </c>
      <c r="E8" s="19">
        <v>25</v>
      </c>
      <c r="F8" s="18">
        <v>171.45519999999999</v>
      </c>
      <c r="G8" s="19">
        <v>0.73651</v>
      </c>
      <c r="H8" s="19">
        <v>0.12722</v>
      </c>
      <c r="I8" s="19">
        <v>13.7403</v>
      </c>
      <c r="J8" s="19">
        <v>3.3765999999999998</v>
      </c>
      <c r="K8" s="19">
        <v>1585.1423</v>
      </c>
      <c r="L8" s="19">
        <v>4359.1376</v>
      </c>
      <c r="M8" s="19">
        <v>5</v>
      </c>
      <c r="N8" s="19">
        <v>4</v>
      </c>
      <c r="O8" s="19">
        <v>4</v>
      </c>
      <c r="P8" s="19">
        <v>1</v>
      </c>
      <c r="Q8" s="19">
        <v>1</v>
      </c>
      <c r="R8" s="19">
        <v>4</v>
      </c>
      <c r="S8" s="19">
        <v>1</v>
      </c>
    </row>
    <row r="9" spans="1:19" x14ac:dyDescent="0.25">
      <c r="A9" s="16"/>
      <c r="B9" s="66"/>
      <c r="C9" s="17"/>
      <c r="D9" s="19">
        <v>7</v>
      </c>
      <c r="E9" s="19">
        <v>40</v>
      </c>
      <c r="F9" s="18">
        <v>177.1491</v>
      </c>
      <c r="G9" s="19">
        <v>0.73640000000000005</v>
      </c>
      <c r="H9" s="19">
        <v>0.12722</v>
      </c>
      <c r="I9" s="19">
        <v>13.707100000000001</v>
      </c>
      <c r="J9" s="19">
        <v>3.3607999999999998</v>
      </c>
      <c r="K9" s="19">
        <v>1590.1984</v>
      </c>
      <c r="L9" s="19">
        <v>4325.5118000000002</v>
      </c>
      <c r="M9" s="19">
        <v>5</v>
      </c>
      <c r="N9" s="19">
        <v>5</v>
      </c>
      <c r="O9" s="19">
        <v>5</v>
      </c>
      <c r="P9" s="19">
        <v>1</v>
      </c>
      <c r="Q9" s="19">
        <v>1</v>
      </c>
      <c r="R9" s="19">
        <v>4</v>
      </c>
      <c r="S9" s="19">
        <v>1</v>
      </c>
    </row>
    <row r="10" spans="1:19" x14ac:dyDescent="0.25">
      <c r="A10" s="16"/>
      <c r="B10" s="66"/>
      <c r="C10" s="17"/>
      <c r="D10" s="19">
        <v>8</v>
      </c>
      <c r="E10" s="19">
        <v>60</v>
      </c>
      <c r="F10" s="18">
        <v>110.1322</v>
      </c>
      <c r="G10" s="19">
        <v>0.72857000000000005</v>
      </c>
      <c r="H10" s="19">
        <v>0.12302</v>
      </c>
      <c r="I10" s="19">
        <v>13.286899999999999</v>
      </c>
      <c r="J10" s="19">
        <v>3.3347000000000002</v>
      </c>
      <c r="K10" s="19">
        <v>1579.1510000000001</v>
      </c>
      <c r="L10" s="19">
        <v>4461.8468000000003</v>
      </c>
      <c r="M10" s="19">
        <v>5</v>
      </c>
      <c r="N10" s="19">
        <v>4</v>
      </c>
      <c r="O10" s="19">
        <v>5</v>
      </c>
      <c r="P10" s="19">
        <v>1</v>
      </c>
      <c r="Q10" s="19">
        <v>1</v>
      </c>
      <c r="R10" s="19">
        <v>4</v>
      </c>
      <c r="S10" s="19">
        <v>2</v>
      </c>
    </row>
    <row r="11" spans="1:19" x14ac:dyDescent="0.25">
      <c r="A11" s="16"/>
      <c r="B11" s="66"/>
      <c r="C11" s="17"/>
      <c r="D11" s="19">
        <v>9</v>
      </c>
      <c r="E11" s="19">
        <v>80</v>
      </c>
      <c r="F11" s="18">
        <v>177.27180000000001</v>
      </c>
      <c r="G11" s="19">
        <v>0.74556999999999995</v>
      </c>
      <c r="H11" s="19">
        <v>0.13625000000000001</v>
      </c>
      <c r="I11" s="19">
        <v>12.7964</v>
      </c>
      <c r="J11" s="19">
        <v>3.2334000000000001</v>
      </c>
      <c r="K11" s="19">
        <v>1687.4003</v>
      </c>
      <c r="L11" s="19">
        <v>4455.0837000000001</v>
      </c>
      <c r="M11" s="19">
        <v>5</v>
      </c>
      <c r="N11" s="19">
        <v>4</v>
      </c>
      <c r="O11" s="19">
        <v>5</v>
      </c>
      <c r="P11" s="19">
        <v>1</v>
      </c>
      <c r="Q11" s="19">
        <v>1</v>
      </c>
      <c r="R11" s="19">
        <v>4</v>
      </c>
      <c r="S11" s="19">
        <v>1</v>
      </c>
    </row>
    <row r="12" spans="1:19" ht="15.75" thickBot="1" x14ac:dyDescent="0.3">
      <c r="A12" s="16"/>
      <c r="B12" s="67"/>
      <c r="C12" s="17"/>
      <c r="D12" s="19">
        <v>10</v>
      </c>
      <c r="E12" s="19">
        <v>120</v>
      </c>
      <c r="F12" s="26">
        <v>112.76479999999999</v>
      </c>
      <c r="G12" s="30">
        <v>0.73133999999999999</v>
      </c>
      <c r="H12" s="30">
        <v>0.12839</v>
      </c>
      <c r="I12" s="30">
        <v>12.629</v>
      </c>
      <c r="J12" s="30">
        <v>3.2385999999999999</v>
      </c>
      <c r="K12" s="30">
        <v>1652.0536999999999</v>
      </c>
      <c r="L12" s="30">
        <v>4537.0141999999996</v>
      </c>
      <c r="M12" s="19">
        <v>5</v>
      </c>
      <c r="N12" s="19">
        <v>4</v>
      </c>
      <c r="O12" s="19">
        <v>5</v>
      </c>
      <c r="P12" s="19">
        <v>1</v>
      </c>
      <c r="Q12" s="19">
        <v>1</v>
      </c>
      <c r="R12" s="19">
        <v>4</v>
      </c>
      <c r="S12" s="19">
        <v>1</v>
      </c>
    </row>
    <row r="13" spans="1:19" ht="15.75" thickBot="1" x14ac:dyDescent="0.3">
      <c r="A13" s="8"/>
      <c r="B13" s="8"/>
      <c r="F13" s="40" t="s">
        <v>24</v>
      </c>
      <c r="G13" s="38">
        <f>AVERAGE(G3:G12)</f>
        <v>0.7416100000000001</v>
      </c>
      <c r="H13" s="38">
        <f t="shared" ref="H13:L13" si="0">AVERAGE(H3:H12)</f>
        <v>0.13535599999999998</v>
      </c>
      <c r="I13" s="38">
        <f t="shared" si="0"/>
        <v>12.89442</v>
      </c>
      <c r="J13" s="38">
        <f t="shared" si="0"/>
        <v>3.2485400000000006</v>
      </c>
      <c r="K13" s="38">
        <f t="shared" si="0"/>
        <v>1669.5261899999998</v>
      </c>
      <c r="L13" s="39">
        <f t="shared" si="0"/>
        <v>4442.3830699999999</v>
      </c>
    </row>
    <row r="14" spans="1:19" ht="15" customHeight="1" x14ac:dyDescent="0.25">
      <c r="A14" s="16" t="s">
        <v>49</v>
      </c>
      <c r="B14" s="65" t="s">
        <v>31</v>
      </c>
      <c r="C14" s="17" t="s">
        <v>47</v>
      </c>
      <c r="D14" s="19">
        <v>6</v>
      </c>
      <c r="E14" s="19">
        <v>0</v>
      </c>
      <c r="F14" s="28">
        <v>56.634700000000002</v>
      </c>
      <c r="G14" s="28">
        <v>0.79659000000000002</v>
      </c>
      <c r="H14" s="28">
        <v>0.11487</v>
      </c>
      <c r="I14" s="28">
        <v>19.859200000000001</v>
      </c>
      <c r="J14" s="28">
        <v>4.0038999999999998</v>
      </c>
      <c r="K14" s="28">
        <v>1337.2862</v>
      </c>
      <c r="L14" s="28">
        <v>3075.9706999999999</v>
      </c>
      <c r="M14" s="19">
        <v>4</v>
      </c>
      <c r="N14" s="19">
        <v>5</v>
      </c>
      <c r="O14" s="19">
        <v>5</v>
      </c>
      <c r="P14" s="19">
        <v>2</v>
      </c>
      <c r="Q14" s="19">
        <v>1</v>
      </c>
      <c r="R14" s="19">
        <v>3</v>
      </c>
      <c r="S14" s="19">
        <v>1</v>
      </c>
    </row>
    <row r="15" spans="1:19" x14ac:dyDescent="0.25">
      <c r="A15" s="16"/>
      <c r="B15" s="66"/>
      <c r="C15" s="17"/>
      <c r="D15" s="19">
        <v>1</v>
      </c>
      <c r="E15" s="19">
        <v>10</v>
      </c>
      <c r="F15" s="19">
        <v>180.26609999999999</v>
      </c>
      <c r="G15" s="19">
        <v>0.78841000000000006</v>
      </c>
      <c r="H15" s="19">
        <v>0.11269</v>
      </c>
      <c r="I15" s="19">
        <v>20.0259</v>
      </c>
      <c r="J15" s="19">
        <v>4.0362999999999998</v>
      </c>
      <c r="K15" s="19">
        <v>1304.6869999999999</v>
      </c>
      <c r="L15" s="19">
        <v>3093.7977000000001</v>
      </c>
      <c r="M15" s="19">
        <v>5</v>
      </c>
      <c r="N15" s="19">
        <v>4</v>
      </c>
      <c r="O15" s="19">
        <v>4</v>
      </c>
      <c r="P15" s="19">
        <v>2</v>
      </c>
      <c r="Q15" s="19">
        <v>1</v>
      </c>
      <c r="R15" s="19">
        <v>5</v>
      </c>
      <c r="S15" s="19">
        <v>1</v>
      </c>
    </row>
    <row r="16" spans="1:19" x14ac:dyDescent="0.25">
      <c r="A16" s="16"/>
      <c r="B16" s="66"/>
      <c r="C16" s="17"/>
      <c r="D16" s="19">
        <v>5</v>
      </c>
      <c r="E16" s="19">
        <v>20</v>
      </c>
      <c r="F16" s="19">
        <v>179.94970000000001</v>
      </c>
      <c r="G16" s="19">
        <v>0.79076999999999997</v>
      </c>
      <c r="H16" s="19">
        <v>0.10675999999999999</v>
      </c>
      <c r="I16" s="19">
        <v>21.406600000000001</v>
      </c>
      <c r="J16" s="19">
        <v>4.1764000000000001</v>
      </c>
      <c r="K16" s="19">
        <v>1277.3717999999999</v>
      </c>
      <c r="L16" s="19">
        <v>2985.5848000000001</v>
      </c>
      <c r="M16" s="19">
        <v>4</v>
      </c>
      <c r="N16" s="19">
        <v>4</v>
      </c>
      <c r="O16" s="19">
        <v>4</v>
      </c>
      <c r="P16" s="19">
        <v>2</v>
      </c>
      <c r="Q16" s="19">
        <v>1</v>
      </c>
      <c r="R16" s="19">
        <v>5</v>
      </c>
      <c r="S16" s="19">
        <v>1</v>
      </c>
    </row>
    <row r="17" spans="1:19" x14ac:dyDescent="0.25">
      <c r="A17" s="16"/>
      <c r="B17" s="66"/>
      <c r="C17" s="17"/>
      <c r="D17" s="19">
        <v>2</v>
      </c>
      <c r="E17" s="19">
        <v>25</v>
      </c>
      <c r="F17" s="19">
        <v>58.432600000000001</v>
      </c>
      <c r="G17" s="19">
        <v>0.78878999999999999</v>
      </c>
      <c r="H17" s="19">
        <v>0.13420000000000001</v>
      </c>
      <c r="I17" s="19">
        <v>16.104700000000001</v>
      </c>
      <c r="J17" s="19">
        <v>3.5994000000000002</v>
      </c>
      <c r="K17" s="19">
        <v>1536.0908999999999</v>
      </c>
      <c r="L17" s="19">
        <v>3425.136</v>
      </c>
      <c r="M17" s="19">
        <v>5</v>
      </c>
      <c r="N17" s="19">
        <v>4</v>
      </c>
      <c r="O17" s="19">
        <v>4</v>
      </c>
      <c r="P17" s="19">
        <v>2</v>
      </c>
      <c r="Q17" s="19">
        <v>1</v>
      </c>
      <c r="R17" s="19">
        <v>4</v>
      </c>
      <c r="S17" s="19">
        <v>2</v>
      </c>
    </row>
    <row r="18" spans="1:19" x14ac:dyDescent="0.25">
      <c r="A18" s="16"/>
      <c r="B18" s="66"/>
      <c r="C18" s="17"/>
      <c r="D18" s="19">
        <v>4</v>
      </c>
      <c r="E18" s="19">
        <v>30</v>
      </c>
      <c r="F18" s="19">
        <v>187.14699999999999</v>
      </c>
      <c r="G18" s="19">
        <v>0.78908</v>
      </c>
      <c r="H18" s="19">
        <v>0.10645</v>
      </c>
      <c r="I18" s="19">
        <v>21.5198</v>
      </c>
      <c r="J18" s="19">
        <v>4.1936999999999998</v>
      </c>
      <c r="K18" s="19">
        <v>1268.0152</v>
      </c>
      <c r="L18" s="19">
        <v>2988.6019000000001</v>
      </c>
      <c r="M18" s="19">
        <v>5</v>
      </c>
      <c r="N18" s="19">
        <v>4</v>
      </c>
      <c r="O18" s="19">
        <v>4</v>
      </c>
      <c r="P18" s="19">
        <v>2</v>
      </c>
      <c r="Q18" s="19">
        <v>1</v>
      </c>
      <c r="R18" s="19">
        <v>5</v>
      </c>
      <c r="S18" s="19">
        <v>1</v>
      </c>
    </row>
    <row r="19" spans="1:19" x14ac:dyDescent="0.25">
      <c r="A19" s="16"/>
      <c r="B19" s="66"/>
      <c r="C19" s="17"/>
      <c r="D19" s="19">
        <v>3</v>
      </c>
      <c r="E19" s="19">
        <v>25</v>
      </c>
      <c r="F19" s="19">
        <v>181.7338</v>
      </c>
      <c r="G19" s="19">
        <v>0.78851000000000004</v>
      </c>
      <c r="H19" s="19">
        <v>0.10375</v>
      </c>
      <c r="I19" s="19">
        <v>22.186800000000002</v>
      </c>
      <c r="J19" s="19">
        <v>4.2611999999999997</v>
      </c>
      <c r="K19" s="19">
        <v>1233.3228999999999</v>
      </c>
      <c r="L19" s="19">
        <v>2949.1682999999998</v>
      </c>
      <c r="M19" s="19">
        <v>5</v>
      </c>
      <c r="N19" s="19">
        <v>4</v>
      </c>
      <c r="O19" s="19">
        <v>4</v>
      </c>
      <c r="P19" s="19">
        <v>2</v>
      </c>
      <c r="Q19" s="19">
        <v>1</v>
      </c>
      <c r="R19" s="19">
        <v>4</v>
      </c>
      <c r="S19" s="19">
        <v>1</v>
      </c>
    </row>
    <row r="20" spans="1:19" x14ac:dyDescent="0.25">
      <c r="A20" s="16"/>
      <c r="B20" s="66"/>
      <c r="C20" s="17"/>
      <c r="D20" s="19">
        <v>7</v>
      </c>
      <c r="E20" s="19">
        <v>40</v>
      </c>
      <c r="F20" s="19">
        <v>179.7799</v>
      </c>
      <c r="G20" s="19">
        <v>0.79676999999999998</v>
      </c>
      <c r="H20" s="19">
        <v>0.12325999999999999</v>
      </c>
      <c r="I20" s="19">
        <v>18.030799999999999</v>
      </c>
      <c r="J20" s="19">
        <v>3.8096000000000001</v>
      </c>
      <c r="K20" s="19">
        <v>1407.6384</v>
      </c>
      <c r="L20" s="19">
        <v>3226.3020999999999</v>
      </c>
      <c r="M20" s="19">
        <v>5</v>
      </c>
      <c r="N20" s="19">
        <v>5</v>
      </c>
      <c r="O20" s="19">
        <v>5</v>
      </c>
      <c r="P20" s="19">
        <v>2</v>
      </c>
      <c r="Q20" s="19">
        <v>1</v>
      </c>
      <c r="R20" s="19">
        <v>5</v>
      </c>
      <c r="S20" s="19">
        <v>1</v>
      </c>
    </row>
    <row r="21" spans="1:19" x14ac:dyDescent="0.25">
      <c r="A21" s="16"/>
      <c r="B21" s="66"/>
      <c r="C21" s="17"/>
      <c r="D21" s="19">
        <v>8</v>
      </c>
      <c r="E21" s="19">
        <v>60</v>
      </c>
      <c r="F21" s="19">
        <v>73.091099999999997</v>
      </c>
      <c r="G21" s="19">
        <v>0.79488999999999999</v>
      </c>
      <c r="H21" s="19">
        <v>0.12157</v>
      </c>
      <c r="I21" s="19">
        <v>18.200600000000001</v>
      </c>
      <c r="J21" s="19">
        <v>3.8338000000000001</v>
      </c>
      <c r="K21" s="19">
        <v>1398.5707</v>
      </c>
      <c r="L21" s="19">
        <v>3220.2813999999998</v>
      </c>
      <c r="M21" s="19">
        <v>5</v>
      </c>
      <c r="N21" s="19">
        <v>4</v>
      </c>
      <c r="O21" s="19">
        <v>4</v>
      </c>
      <c r="P21" s="19">
        <v>2</v>
      </c>
      <c r="Q21" s="19">
        <v>1</v>
      </c>
      <c r="R21" s="19">
        <v>5</v>
      </c>
      <c r="S21" s="19">
        <v>1</v>
      </c>
    </row>
    <row r="22" spans="1:19" x14ac:dyDescent="0.25">
      <c r="A22" s="16"/>
      <c r="B22" s="66"/>
      <c r="C22" s="17"/>
      <c r="D22" s="19">
        <v>9</v>
      </c>
      <c r="E22" s="19">
        <v>80</v>
      </c>
      <c r="F22" s="19">
        <v>179.6892</v>
      </c>
      <c r="G22" s="19">
        <v>0.79490000000000005</v>
      </c>
      <c r="H22" s="19">
        <v>0.12182</v>
      </c>
      <c r="I22" s="19">
        <v>18.308700000000002</v>
      </c>
      <c r="J22" s="19">
        <v>3.8483000000000001</v>
      </c>
      <c r="K22" s="19">
        <v>1398.3503000000001</v>
      </c>
      <c r="L22" s="19">
        <v>3223.1043</v>
      </c>
      <c r="M22" s="19">
        <v>5</v>
      </c>
      <c r="N22" s="19">
        <v>4</v>
      </c>
      <c r="O22" s="19">
        <v>4</v>
      </c>
      <c r="P22" s="19">
        <v>2</v>
      </c>
      <c r="Q22" s="19">
        <v>1</v>
      </c>
      <c r="R22" s="19">
        <v>4</v>
      </c>
      <c r="S22" s="19">
        <v>1</v>
      </c>
    </row>
    <row r="23" spans="1:19" ht="15.75" thickBot="1" x14ac:dyDescent="0.3">
      <c r="A23" s="16"/>
      <c r="B23" s="67"/>
      <c r="C23" s="17"/>
      <c r="D23" s="19">
        <v>10</v>
      </c>
      <c r="E23" s="19">
        <v>120</v>
      </c>
      <c r="F23" s="30" t="s">
        <v>0</v>
      </c>
      <c r="G23" s="30">
        <v>0.78913999999999995</v>
      </c>
      <c r="H23" s="30">
        <v>0.11075</v>
      </c>
      <c r="I23" s="30">
        <v>20.505199999999999</v>
      </c>
      <c r="J23" s="30">
        <v>4.0900999999999996</v>
      </c>
      <c r="K23" s="30">
        <v>1301.9825000000001</v>
      </c>
      <c r="L23" s="30">
        <v>3068.7824999999998</v>
      </c>
      <c r="M23" s="19">
        <v>5</v>
      </c>
      <c r="N23" s="19">
        <v>4</v>
      </c>
      <c r="O23" s="19">
        <v>4</v>
      </c>
      <c r="P23" s="19">
        <v>2</v>
      </c>
      <c r="Q23" s="19">
        <v>1</v>
      </c>
      <c r="R23" s="19">
        <v>5</v>
      </c>
      <c r="S23" s="19">
        <v>1</v>
      </c>
    </row>
    <row r="24" spans="1:19" ht="15.75" thickBot="1" x14ac:dyDescent="0.3">
      <c r="B24" s="8"/>
      <c r="F24" s="40" t="s">
        <v>24</v>
      </c>
      <c r="G24" s="38">
        <f>AVERAGE(G14:G23)</f>
        <v>0.79178500000000007</v>
      </c>
      <c r="H24" s="38">
        <f t="shared" ref="H24:L24" si="1">AVERAGE(H14:H23)</f>
        <v>0.11561199999999998</v>
      </c>
      <c r="I24" s="38">
        <f t="shared" si="1"/>
        <v>19.614830000000001</v>
      </c>
      <c r="J24" s="38">
        <f t="shared" si="1"/>
        <v>3.9852699999999999</v>
      </c>
      <c r="K24" s="38">
        <f t="shared" si="1"/>
        <v>1346.33159</v>
      </c>
      <c r="L24" s="39">
        <f t="shared" si="1"/>
        <v>3125.6729700000001</v>
      </c>
    </row>
    <row r="26" spans="1:19" ht="15.75" thickBot="1" x14ac:dyDescent="0.3"/>
    <row r="27" spans="1:19" s="71" customFormat="1" ht="29.25" thickBot="1" x14ac:dyDescent="0.5">
      <c r="A27" s="68" t="s">
        <v>59</v>
      </c>
      <c r="B27" s="69"/>
      <c r="C27" s="70" t="s">
        <v>61</v>
      </c>
      <c r="F27" s="72"/>
    </row>
  </sheetData>
  <mergeCells count="8">
    <mergeCell ref="M1:S1"/>
    <mergeCell ref="B3:B12"/>
    <mergeCell ref="B14:B23"/>
    <mergeCell ref="A3:A12"/>
    <mergeCell ref="A14:A23"/>
    <mergeCell ref="C3:C12"/>
    <mergeCell ref="C14:C23"/>
    <mergeCell ref="G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2"/>
  <sheetViews>
    <sheetView workbookViewId="0">
      <selection activeCell="F13" sqref="F13:L13"/>
    </sheetView>
  </sheetViews>
  <sheetFormatPr defaultRowHeight="15" x14ac:dyDescent="0.25"/>
  <cols>
    <col min="1" max="2" width="12.42578125" customWidth="1"/>
    <col min="3" max="3" width="12.5703125" customWidth="1"/>
    <col min="4" max="4" width="11.28515625" customWidth="1"/>
    <col min="6" max="6" width="18.28515625" customWidth="1"/>
    <col min="7" max="7" width="11.140625" customWidth="1"/>
    <col min="8" max="8" width="10.140625" customWidth="1"/>
    <col min="9" max="9" width="11" customWidth="1"/>
    <col min="10" max="10" width="12.7109375" customWidth="1"/>
    <col min="11" max="11" width="10.42578125" customWidth="1"/>
    <col min="12" max="12" width="11.85546875" customWidth="1"/>
  </cols>
  <sheetData>
    <row r="1" spans="1:19" ht="15.75" thickBot="1" x14ac:dyDescent="0.3">
      <c r="A1" s="8"/>
      <c r="B1" s="8"/>
      <c r="C1" s="8"/>
      <c r="D1" s="8"/>
      <c r="E1" s="8"/>
      <c r="F1" s="9"/>
      <c r="G1" s="15" t="s">
        <v>58</v>
      </c>
      <c r="H1" s="20"/>
      <c r="I1" s="20"/>
      <c r="J1" s="20"/>
      <c r="K1" s="20"/>
      <c r="L1" s="21"/>
      <c r="M1" s="12" t="s">
        <v>57</v>
      </c>
      <c r="N1" s="13"/>
      <c r="O1" s="13"/>
      <c r="P1" s="13"/>
      <c r="Q1" s="13"/>
      <c r="R1" s="13"/>
      <c r="S1" s="14"/>
    </row>
    <row r="2" spans="1:19" x14ac:dyDescent="0.25">
      <c r="A2" s="27"/>
      <c r="B2" s="10" t="s">
        <v>64</v>
      </c>
      <c r="C2" s="31" t="s">
        <v>1</v>
      </c>
      <c r="D2" s="31" t="s">
        <v>54</v>
      </c>
      <c r="E2" s="31" t="s">
        <v>55</v>
      </c>
      <c r="F2" s="32" t="s">
        <v>56</v>
      </c>
      <c r="G2" s="33" t="s">
        <v>2</v>
      </c>
      <c r="H2" s="34" t="s">
        <v>3</v>
      </c>
      <c r="I2" s="34" t="s">
        <v>4</v>
      </c>
      <c r="J2" s="34" t="s">
        <v>5</v>
      </c>
      <c r="K2" s="34" t="s">
        <v>6</v>
      </c>
      <c r="L2" s="35" t="s">
        <v>7</v>
      </c>
      <c r="M2" s="33" t="s">
        <v>16</v>
      </c>
      <c r="N2" s="34" t="s">
        <v>17</v>
      </c>
      <c r="O2" s="34" t="s">
        <v>18</v>
      </c>
      <c r="P2" s="34" t="s">
        <v>19</v>
      </c>
      <c r="Q2" s="34" t="s">
        <v>20</v>
      </c>
      <c r="R2" s="34" t="s">
        <v>21</v>
      </c>
      <c r="S2" s="35" t="s">
        <v>22</v>
      </c>
    </row>
    <row r="3" spans="1:19" ht="15" customHeight="1" x14ac:dyDescent="0.25">
      <c r="A3" s="16" t="s">
        <v>50</v>
      </c>
      <c r="B3" s="65" t="s">
        <v>34</v>
      </c>
      <c r="C3" s="17" t="s">
        <v>51</v>
      </c>
      <c r="D3" s="19">
        <v>6</v>
      </c>
      <c r="E3" s="19">
        <v>0</v>
      </c>
      <c r="F3" s="18">
        <v>103.2013</v>
      </c>
      <c r="G3" s="19">
        <v>0.84369000000000005</v>
      </c>
      <c r="H3" s="19">
        <v>0.10963000000000001</v>
      </c>
      <c r="I3" s="19">
        <v>18.692699999999999</v>
      </c>
      <c r="J3" s="19">
        <v>3.5815000000000001</v>
      </c>
      <c r="K3" s="19">
        <v>1694.5425</v>
      </c>
      <c r="L3" s="19">
        <v>2737.2645000000002</v>
      </c>
      <c r="M3" s="19">
        <v>5</v>
      </c>
      <c r="N3" s="19">
        <v>4</v>
      </c>
      <c r="O3" s="19">
        <v>1</v>
      </c>
      <c r="P3" s="19">
        <v>1</v>
      </c>
      <c r="Q3" s="19">
        <v>1</v>
      </c>
      <c r="R3" s="19">
        <v>4</v>
      </c>
      <c r="S3" s="19">
        <v>5</v>
      </c>
    </row>
    <row r="4" spans="1:19" x14ac:dyDescent="0.25">
      <c r="A4" s="16"/>
      <c r="B4" s="66"/>
      <c r="C4" s="17"/>
      <c r="D4" s="19">
        <v>1</v>
      </c>
      <c r="E4" s="19">
        <v>10</v>
      </c>
      <c r="F4" s="18">
        <v>102.5766</v>
      </c>
      <c r="G4" s="19">
        <v>0.83645000000000003</v>
      </c>
      <c r="H4" s="19">
        <v>9.9346000000000004E-2</v>
      </c>
      <c r="I4" s="19">
        <v>21.030200000000001</v>
      </c>
      <c r="J4" s="19">
        <v>3.8266</v>
      </c>
      <c r="K4" s="19">
        <v>1567.0995</v>
      </c>
      <c r="L4" s="19">
        <v>2609.3319000000001</v>
      </c>
      <c r="M4" s="19">
        <v>5</v>
      </c>
      <c r="N4" s="19">
        <v>4</v>
      </c>
      <c r="O4" s="19">
        <v>1</v>
      </c>
      <c r="P4" s="19">
        <v>1</v>
      </c>
      <c r="Q4" s="19">
        <v>1</v>
      </c>
      <c r="R4" s="19">
        <v>4</v>
      </c>
      <c r="S4" s="19"/>
    </row>
    <row r="5" spans="1:19" x14ac:dyDescent="0.25">
      <c r="A5" s="16"/>
      <c r="B5" s="66"/>
      <c r="C5" s="17"/>
      <c r="D5" s="19">
        <v>5</v>
      </c>
      <c r="E5" s="19">
        <v>20</v>
      </c>
      <c r="F5" s="18">
        <v>100.20310000000001</v>
      </c>
      <c r="G5" s="19">
        <v>0.84416000000000002</v>
      </c>
      <c r="H5" s="19">
        <v>0.10962</v>
      </c>
      <c r="I5" s="19">
        <v>19.2438</v>
      </c>
      <c r="J5" s="19">
        <v>3.633</v>
      </c>
      <c r="K5" s="19">
        <v>1668.8506</v>
      </c>
      <c r="L5" s="19">
        <v>2701.5138000000002</v>
      </c>
      <c r="M5" s="19">
        <v>4</v>
      </c>
      <c r="N5" s="19">
        <v>1</v>
      </c>
      <c r="O5" s="19">
        <v>1</v>
      </c>
      <c r="P5" s="19">
        <v>1</v>
      </c>
      <c r="Q5" s="19">
        <v>1</v>
      </c>
      <c r="R5" s="19">
        <v>4</v>
      </c>
      <c r="S5" s="19">
        <v>5</v>
      </c>
    </row>
    <row r="6" spans="1:19" x14ac:dyDescent="0.25">
      <c r="A6" s="16"/>
      <c r="B6" s="66"/>
      <c r="C6" s="17"/>
      <c r="D6" s="19">
        <v>2</v>
      </c>
      <c r="E6" s="19">
        <v>25</v>
      </c>
      <c r="F6" s="18">
        <v>102.15309999999999</v>
      </c>
      <c r="G6" s="19">
        <v>0.83792</v>
      </c>
      <c r="H6" s="19">
        <v>9.3965000000000007E-2</v>
      </c>
      <c r="I6" s="19">
        <v>22.1251</v>
      </c>
      <c r="J6" s="19">
        <v>3.9544000000000001</v>
      </c>
      <c r="K6" s="19">
        <v>1496.3316</v>
      </c>
      <c r="L6" s="19">
        <v>2578.3418000000001</v>
      </c>
      <c r="M6" s="19">
        <v>5</v>
      </c>
      <c r="N6" s="19">
        <v>4</v>
      </c>
      <c r="O6" s="19">
        <v>1</v>
      </c>
      <c r="P6" s="19">
        <v>1</v>
      </c>
      <c r="Q6" s="19">
        <v>1</v>
      </c>
      <c r="R6" s="19">
        <v>4</v>
      </c>
      <c r="S6" s="19">
        <v>5</v>
      </c>
    </row>
    <row r="7" spans="1:19" x14ac:dyDescent="0.25">
      <c r="A7" s="16"/>
      <c r="B7" s="66"/>
      <c r="C7" s="17"/>
      <c r="D7" s="19">
        <v>4</v>
      </c>
      <c r="E7" s="19">
        <v>30</v>
      </c>
      <c r="F7" s="18">
        <v>98.831199999999995</v>
      </c>
      <c r="G7" s="19">
        <v>0.83974000000000004</v>
      </c>
      <c r="H7" s="19">
        <v>0.10954</v>
      </c>
      <c r="I7" s="19">
        <v>18.524799999999999</v>
      </c>
      <c r="J7" s="19">
        <v>3.6036000000000001</v>
      </c>
      <c r="K7" s="19">
        <v>1686.2221999999999</v>
      </c>
      <c r="L7" s="19">
        <v>2798.3216000000002</v>
      </c>
      <c r="M7" s="19">
        <v>3</v>
      </c>
      <c r="N7" s="19">
        <v>3</v>
      </c>
      <c r="O7" s="19">
        <v>2</v>
      </c>
      <c r="P7" s="19">
        <v>1</v>
      </c>
      <c r="Q7" s="19">
        <v>1</v>
      </c>
      <c r="R7" s="19">
        <v>4</v>
      </c>
      <c r="S7" s="19">
        <v>5</v>
      </c>
    </row>
    <row r="8" spans="1:19" x14ac:dyDescent="0.25">
      <c r="A8" s="16"/>
      <c r="B8" s="66"/>
      <c r="C8" s="17"/>
      <c r="D8" s="19">
        <v>3</v>
      </c>
      <c r="E8" s="19">
        <v>25</v>
      </c>
      <c r="F8" s="18">
        <v>100.59350000000001</v>
      </c>
      <c r="G8" s="19">
        <v>0.83343</v>
      </c>
      <c r="H8" s="19">
        <v>9.8153000000000004E-2</v>
      </c>
      <c r="I8" s="19">
        <v>20.683499999999999</v>
      </c>
      <c r="J8" s="19">
        <v>3.8107000000000002</v>
      </c>
      <c r="K8" s="19">
        <v>1561.7615000000001</v>
      </c>
      <c r="L8" s="19">
        <v>2631.4573999999998</v>
      </c>
      <c r="M8" s="19">
        <v>3</v>
      </c>
      <c r="N8" s="19">
        <v>3</v>
      </c>
      <c r="O8" s="19">
        <v>4</v>
      </c>
      <c r="P8" s="19">
        <v>1</v>
      </c>
      <c r="Q8" s="19">
        <v>1</v>
      </c>
      <c r="R8" s="19">
        <v>4</v>
      </c>
      <c r="S8" s="19">
        <v>5</v>
      </c>
    </row>
    <row r="9" spans="1:19" x14ac:dyDescent="0.25">
      <c r="A9" s="16"/>
      <c r="B9" s="66"/>
      <c r="C9" s="17"/>
      <c r="D9" s="19">
        <v>7</v>
      </c>
      <c r="E9" s="19">
        <v>40</v>
      </c>
      <c r="F9" s="18">
        <v>99.692599999999999</v>
      </c>
      <c r="G9" s="19">
        <v>0.84070999999999996</v>
      </c>
      <c r="H9" s="19">
        <v>0.11426</v>
      </c>
      <c r="I9" s="19">
        <v>17.940799999999999</v>
      </c>
      <c r="J9" s="19">
        <v>3.5531000000000001</v>
      </c>
      <c r="K9" s="19">
        <v>1737.8167000000001</v>
      </c>
      <c r="L9" s="19">
        <v>2871.4757</v>
      </c>
      <c r="M9" s="19">
        <v>4</v>
      </c>
      <c r="N9" s="19">
        <v>3</v>
      </c>
      <c r="O9" s="19">
        <v>2</v>
      </c>
      <c r="P9" s="19">
        <v>1</v>
      </c>
      <c r="Q9" s="19">
        <v>1</v>
      </c>
      <c r="R9" s="19">
        <v>4</v>
      </c>
      <c r="S9" s="19">
        <v>5</v>
      </c>
    </row>
    <row r="10" spans="1:19" x14ac:dyDescent="0.25">
      <c r="A10" s="16"/>
      <c r="B10" s="66"/>
      <c r="C10" s="17"/>
      <c r="D10" s="19">
        <v>8</v>
      </c>
      <c r="E10" s="19">
        <v>60</v>
      </c>
      <c r="F10" s="18">
        <v>97.130200000000002</v>
      </c>
      <c r="G10" s="19">
        <v>0.82954000000000006</v>
      </c>
      <c r="H10" s="19">
        <v>9.3526999999999999E-2</v>
      </c>
      <c r="I10" s="19">
        <v>22.926100000000002</v>
      </c>
      <c r="J10" s="19">
        <v>4.0086000000000004</v>
      </c>
      <c r="K10" s="19">
        <v>1498.7324000000001</v>
      </c>
      <c r="L10" s="19">
        <v>2544.6194999999998</v>
      </c>
      <c r="M10" s="19">
        <v>3</v>
      </c>
      <c r="N10" s="19">
        <v>2</v>
      </c>
      <c r="O10" s="19">
        <v>3</v>
      </c>
      <c r="P10" s="19">
        <v>1</v>
      </c>
      <c r="Q10" s="19">
        <v>1</v>
      </c>
      <c r="R10" s="19">
        <v>4</v>
      </c>
      <c r="S10" s="19">
        <v>3</v>
      </c>
    </row>
    <row r="11" spans="1:19" x14ac:dyDescent="0.25">
      <c r="A11" s="16"/>
      <c r="B11" s="66"/>
      <c r="C11" s="17"/>
      <c r="D11" s="19">
        <v>9</v>
      </c>
      <c r="E11" s="19">
        <v>80</v>
      </c>
      <c r="F11" s="18">
        <v>126.69759999999999</v>
      </c>
      <c r="G11" s="19" t="s">
        <v>53</v>
      </c>
      <c r="H11" s="19" t="s">
        <v>53</v>
      </c>
      <c r="I11" s="19" t="s">
        <v>53</v>
      </c>
      <c r="J11" s="19" t="s">
        <v>53</v>
      </c>
      <c r="K11" s="19" t="s">
        <v>53</v>
      </c>
      <c r="L11" s="19" t="s">
        <v>53</v>
      </c>
      <c r="M11" s="19">
        <v>2</v>
      </c>
      <c r="N11" s="19">
        <v>1</v>
      </c>
      <c r="O11" s="19">
        <v>3</v>
      </c>
      <c r="P11" s="19">
        <v>1</v>
      </c>
      <c r="Q11" s="19">
        <v>1</v>
      </c>
      <c r="R11" s="19">
        <v>3</v>
      </c>
      <c r="S11" s="19">
        <v>5</v>
      </c>
    </row>
    <row r="12" spans="1:19" ht="15.75" thickBot="1" x14ac:dyDescent="0.3">
      <c r="A12" s="16"/>
      <c r="B12" s="67"/>
      <c r="C12" s="17"/>
      <c r="D12" s="19">
        <v>10</v>
      </c>
      <c r="E12" s="19">
        <v>120</v>
      </c>
      <c r="F12" s="26">
        <v>183.7046</v>
      </c>
      <c r="G12" s="30">
        <v>0.83748999999999996</v>
      </c>
      <c r="H12" s="30">
        <v>9.8884E-2</v>
      </c>
      <c r="I12" s="30">
        <v>21.672699999999999</v>
      </c>
      <c r="J12" s="30">
        <v>3.8950999999999998</v>
      </c>
      <c r="K12" s="30">
        <v>1545.1356000000001</v>
      </c>
      <c r="L12" s="30">
        <v>2611.7469999999998</v>
      </c>
      <c r="M12" s="19">
        <v>1</v>
      </c>
      <c r="N12" s="19">
        <v>1</v>
      </c>
      <c r="O12" s="19">
        <v>3</v>
      </c>
      <c r="P12" s="19">
        <v>1</v>
      </c>
      <c r="Q12" s="19">
        <v>1</v>
      </c>
      <c r="R12" s="19">
        <v>4</v>
      </c>
      <c r="S12" s="19">
        <v>5</v>
      </c>
    </row>
    <row r="13" spans="1:19" ht="15.75" thickBot="1" x14ac:dyDescent="0.3">
      <c r="A13" s="8"/>
      <c r="B13" s="8"/>
      <c r="F13" s="40" t="s">
        <v>24</v>
      </c>
      <c r="G13" s="40">
        <f>AVERAGE(G3:G12)</f>
        <v>0.83812555555555557</v>
      </c>
      <c r="H13" s="43">
        <f t="shared" ref="H13:L13" si="0">AVERAGE(H3:H12)</f>
        <v>0.10299166666666668</v>
      </c>
      <c r="I13" s="43">
        <f t="shared" si="0"/>
        <v>20.315522222222217</v>
      </c>
      <c r="J13" s="43">
        <f t="shared" si="0"/>
        <v>3.7629555555555561</v>
      </c>
      <c r="K13" s="43">
        <f t="shared" si="0"/>
        <v>1606.2769555555556</v>
      </c>
      <c r="L13" s="44">
        <f t="shared" si="0"/>
        <v>2676.0081333333333</v>
      </c>
    </row>
    <row r="14" spans="1:19" ht="15" customHeight="1" x14ac:dyDescent="0.25">
      <c r="A14" s="16" t="s">
        <v>49</v>
      </c>
      <c r="B14" s="65" t="s">
        <v>33</v>
      </c>
      <c r="C14" s="17" t="s">
        <v>47</v>
      </c>
      <c r="D14" s="19">
        <v>6</v>
      </c>
      <c r="E14" s="19">
        <v>0</v>
      </c>
      <c r="F14" s="28">
        <v>131.7662</v>
      </c>
      <c r="G14" s="28">
        <v>0.82906000000000002</v>
      </c>
      <c r="H14" s="28">
        <v>6.7081000000000002E-2</v>
      </c>
      <c r="I14" s="28">
        <v>40.761699999999998</v>
      </c>
      <c r="J14" s="28">
        <v>5.5640000000000001</v>
      </c>
      <c r="K14" s="28">
        <v>1501.7387000000001</v>
      </c>
      <c r="L14" s="28">
        <v>2300.6410000000001</v>
      </c>
      <c r="M14" s="19">
        <v>4</v>
      </c>
      <c r="N14" s="19">
        <v>4</v>
      </c>
      <c r="O14" s="19">
        <v>2</v>
      </c>
      <c r="P14" s="19">
        <v>1</v>
      </c>
      <c r="Q14" s="19">
        <v>1</v>
      </c>
      <c r="R14" s="19">
        <v>5</v>
      </c>
      <c r="S14" s="19">
        <v>2</v>
      </c>
    </row>
    <row r="15" spans="1:19" x14ac:dyDescent="0.25">
      <c r="A15" s="16"/>
      <c r="B15" s="66"/>
      <c r="C15" s="17"/>
      <c r="D15" s="19">
        <v>1</v>
      </c>
      <c r="E15" s="19">
        <v>10</v>
      </c>
      <c r="F15" s="19">
        <v>130.38980000000001</v>
      </c>
      <c r="G15" s="19">
        <v>0.82521999999999995</v>
      </c>
      <c r="H15" s="19">
        <v>6.6223000000000004E-2</v>
      </c>
      <c r="I15" s="19">
        <v>40.139499999999998</v>
      </c>
      <c r="J15" s="19">
        <v>5.5688000000000004</v>
      </c>
      <c r="K15" s="19">
        <v>1481.7140999999999</v>
      </c>
      <c r="L15" s="19">
        <v>2348.1858999999999</v>
      </c>
      <c r="M15" s="19">
        <v>4</v>
      </c>
      <c r="N15" s="19">
        <v>4</v>
      </c>
      <c r="O15" s="19">
        <v>2</v>
      </c>
      <c r="P15" s="19">
        <v>1</v>
      </c>
      <c r="Q15" s="19">
        <v>1</v>
      </c>
      <c r="R15" s="19">
        <v>5</v>
      </c>
      <c r="S15" s="19">
        <v>1</v>
      </c>
    </row>
    <row r="16" spans="1:19" x14ac:dyDescent="0.25">
      <c r="A16" s="16"/>
      <c r="B16" s="66"/>
      <c r="C16" s="17"/>
      <c r="D16" s="19">
        <v>5</v>
      </c>
      <c r="E16" s="19">
        <v>20</v>
      </c>
      <c r="F16" s="19">
        <v>127.3682</v>
      </c>
      <c r="G16" s="19">
        <v>0.82569000000000004</v>
      </c>
      <c r="H16" s="19">
        <v>6.7510000000000001E-2</v>
      </c>
      <c r="I16" s="19">
        <v>39.792099999999998</v>
      </c>
      <c r="J16" s="19">
        <v>5.5198</v>
      </c>
      <c r="K16" s="19">
        <v>1492.1948</v>
      </c>
      <c r="L16" s="19">
        <v>2331.9002999999998</v>
      </c>
      <c r="M16" s="19">
        <v>4</v>
      </c>
      <c r="N16" s="19">
        <v>4</v>
      </c>
      <c r="O16" s="19">
        <v>2</v>
      </c>
      <c r="P16" s="19">
        <v>1</v>
      </c>
      <c r="Q16" s="19">
        <v>1</v>
      </c>
      <c r="R16" s="19">
        <v>5</v>
      </c>
      <c r="S16" s="19">
        <v>2</v>
      </c>
    </row>
    <row r="17" spans="1:19" x14ac:dyDescent="0.25">
      <c r="A17" s="16"/>
      <c r="B17" s="66"/>
      <c r="C17" s="17"/>
      <c r="D17" s="19">
        <v>2</v>
      </c>
      <c r="E17" s="19">
        <v>25</v>
      </c>
      <c r="F17" s="19">
        <v>130.3664</v>
      </c>
      <c r="G17" s="19">
        <v>0.83001000000000003</v>
      </c>
      <c r="H17" s="19">
        <v>5.8111000000000003E-2</v>
      </c>
      <c r="I17" s="19">
        <v>42.356299999999997</v>
      </c>
      <c r="J17" s="19">
        <v>5.8475999999999999</v>
      </c>
      <c r="K17" s="19">
        <v>1397.6158</v>
      </c>
      <c r="L17" s="19">
        <v>2379.5189</v>
      </c>
      <c r="M17" s="19">
        <v>4</v>
      </c>
      <c r="N17" s="19">
        <v>4</v>
      </c>
      <c r="O17" s="19">
        <v>2</v>
      </c>
      <c r="P17" s="19">
        <v>1</v>
      </c>
      <c r="Q17" s="19">
        <v>1</v>
      </c>
      <c r="R17" s="19">
        <v>5</v>
      </c>
      <c r="S17" s="19">
        <v>2</v>
      </c>
    </row>
    <row r="18" spans="1:19" x14ac:dyDescent="0.25">
      <c r="A18" s="16"/>
      <c r="B18" s="66"/>
      <c r="C18" s="17"/>
      <c r="D18" s="19">
        <v>4</v>
      </c>
      <c r="E18" s="19">
        <v>30</v>
      </c>
      <c r="F18" s="19">
        <v>125.7578</v>
      </c>
      <c r="G18" s="19">
        <v>0.82594999999999996</v>
      </c>
      <c r="H18" s="19">
        <v>6.3695000000000002E-2</v>
      </c>
      <c r="I18" s="19">
        <v>42.090699999999998</v>
      </c>
      <c r="J18" s="19">
        <v>5.6858000000000004</v>
      </c>
      <c r="K18" s="19">
        <v>1463.2601</v>
      </c>
      <c r="L18" s="19">
        <v>2286.6646000000001</v>
      </c>
      <c r="M18" s="19">
        <v>4</v>
      </c>
      <c r="N18" s="19">
        <v>4</v>
      </c>
      <c r="O18" s="19">
        <v>2</v>
      </c>
      <c r="P18" s="19">
        <v>1</v>
      </c>
      <c r="Q18" s="19">
        <v>1</v>
      </c>
      <c r="R18" s="19">
        <v>5</v>
      </c>
      <c r="S18" s="19">
        <v>2</v>
      </c>
    </row>
    <row r="19" spans="1:19" x14ac:dyDescent="0.25">
      <c r="A19" s="16"/>
      <c r="B19" s="66"/>
      <c r="C19" s="17"/>
      <c r="D19" s="19">
        <v>3</v>
      </c>
      <c r="E19" s="19">
        <v>25</v>
      </c>
      <c r="F19" s="19">
        <v>125.0277</v>
      </c>
      <c r="G19" s="19">
        <v>0.82318000000000002</v>
      </c>
      <c r="H19" s="19">
        <v>6.0580000000000002E-2</v>
      </c>
      <c r="I19" s="19">
        <v>43.654899999999998</v>
      </c>
      <c r="J19" s="19">
        <v>5.8109999999999999</v>
      </c>
      <c r="K19" s="19">
        <v>1457.3855000000001</v>
      </c>
      <c r="L19" s="19">
        <v>2275.1104999999998</v>
      </c>
      <c r="M19" s="19">
        <v>4</v>
      </c>
      <c r="N19" s="19">
        <v>4</v>
      </c>
      <c r="O19" s="19">
        <v>2</v>
      </c>
      <c r="P19" s="19">
        <v>1</v>
      </c>
      <c r="Q19" s="19">
        <v>1</v>
      </c>
      <c r="R19" s="19">
        <v>5</v>
      </c>
      <c r="S19" s="19">
        <v>1</v>
      </c>
    </row>
    <row r="20" spans="1:19" x14ac:dyDescent="0.25">
      <c r="A20" s="16"/>
      <c r="B20" s="66"/>
      <c r="C20" s="17"/>
      <c r="D20" s="19">
        <v>7</v>
      </c>
      <c r="E20" s="19">
        <v>40</v>
      </c>
      <c r="F20" s="19">
        <v>126.9699</v>
      </c>
      <c r="G20" s="19">
        <v>0.82520000000000004</v>
      </c>
      <c r="H20" s="19">
        <v>6.7376000000000005E-2</v>
      </c>
      <c r="I20" s="19">
        <v>39.42</v>
      </c>
      <c r="J20" s="19">
        <v>5.5201000000000002</v>
      </c>
      <c r="K20" s="19">
        <v>1490.0968</v>
      </c>
      <c r="L20" s="19">
        <v>2352.6309000000001</v>
      </c>
      <c r="M20" s="19">
        <v>4</v>
      </c>
      <c r="N20" s="19">
        <v>4</v>
      </c>
      <c r="O20" s="19">
        <v>2</v>
      </c>
      <c r="P20" s="19">
        <v>1</v>
      </c>
      <c r="Q20" s="19">
        <v>1</v>
      </c>
      <c r="R20" s="19">
        <v>5</v>
      </c>
      <c r="S20" s="19">
        <v>2</v>
      </c>
    </row>
    <row r="21" spans="1:19" x14ac:dyDescent="0.25">
      <c r="A21" s="16"/>
      <c r="B21" s="66"/>
      <c r="C21" s="17"/>
      <c r="D21" s="19">
        <v>8</v>
      </c>
      <c r="E21" s="19">
        <v>60</v>
      </c>
      <c r="F21" s="19">
        <v>122.2379</v>
      </c>
      <c r="G21" s="19">
        <v>0.82081000000000004</v>
      </c>
      <c r="H21" s="19">
        <v>6.5870999999999999E-2</v>
      </c>
      <c r="I21" s="19">
        <v>37.952599999999997</v>
      </c>
      <c r="J21" s="19">
        <v>5.5228999999999999</v>
      </c>
      <c r="K21" s="19">
        <v>1475.2285999999999</v>
      </c>
      <c r="L21" s="19">
        <v>2489.0201999999999</v>
      </c>
      <c r="M21" s="19">
        <v>4</v>
      </c>
      <c r="N21" s="19">
        <v>4</v>
      </c>
      <c r="O21" s="19">
        <v>2</v>
      </c>
      <c r="P21" s="19">
        <v>1</v>
      </c>
      <c r="Q21" s="19">
        <v>1</v>
      </c>
      <c r="R21" s="19">
        <v>5</v>
      </c>
      <c r="S21" s="19">
        <v>2</v>
      </c>
    </row>
    <row r="22" spans="1:19" x14ac:dyDescent="0.25">
      <c r="A22" s="16"/>
      <c r="B22" s="66"/>
      <c r="C22" s="17"/>
      <c r="D22" s="19">
        <v>9</v>
      </c>
      <c r="E22" s="19">
        <v>80</v>
      </c>
      <c r="F22" s="19">
        <v>115.64400000000001</v>
      </c>
      <c r="G22" s="19">
        <v>0.82430000000000003</v>
      </c>
      <c r="H22" s="19">
        <v>5.8664000000000001E-2</v>
      </c>
      <c r="I22" s="19">
        <v>41.335700000000003</v>
      </c>
      <c r="J22" s="19">
        <v>5.7820999999999998</v>
      </c>
      <c r="K22" s="19">
        <v>1392.1056000000001</v>
      </c>
      <c r="L22" s="19">
        <v>2402.5047</v>
      </c>
      <c r="M22" s="19">
        <v>3</v>
      </c>
      <c r="N22" s="19">
        <v>3</v>
      </c>
      <c r="O22" s="19">
        <v>3</v>
      </c>
      <c r="P22" s="19">
        <v>1</v>
      </c>
      <c r="Q22" s="19">
        <v>1</v>
      </c>
      <c r="R22" s="19">
        <v>5</v>
      </c>
      <c r="S22" s="19">
        <v>3</v>
      </c>
    </row>
    <row r="23" spans="1:19" ht="15.75" thickBot="1" x14ac:dyDescent="0.3">
      <c r="A23" s="16"/>
      <c r="B23" s="67"/>
      <c r="C23" s="17"/>
      <c r="D23" s="19">
        <v>10</v>
      </c>
      <c r="E23" s="19">
        <v>120</v>
      </c>
      <c r="F23" s="30">
        <v>189.25819999999999</v>
      </c>
      <c r="G23" s="30">
        <v>0.82704</v>
      </c>
      <c r="H23" s="30">
        <v>6.0201999999999999E-2</v>
      </c>
      <c r="I23" s="30">
        <v>40.781500000000001</v>
      </c>
      <c r="J23" s="30">
        <v>5.7263000000000002</v>
      </c>
      <c r="K23" s="30">
        <v>1415.8608999999999</v>
      </c>
      <c r="L23" s="30">
        <v>2403.8245000000002</v>
      </c>
      <c r="M23" s="19">
        <v>2</v>
      </c>
      <c r="N23" s="19">
        <v>3</v>
      </c>
      <c r="O23" s="19">
        <v>4</v>
      </c>
      <c r="P23" s="19">
        <v>1</v>
      </c>
      <c r="Q23" s="19">
        <v>1</v>
      </c>
      <c r="R23" s="19">
        <v>5</v>
      </c>
      <c r="S23" s="19">
        <v>3</v>
      </c>
    </row>
    <row r="24" spans="1:19" ht="15.75" thickBot="1" x14ac:dyDescent="0.3">
      <c r="B24" s="8"/>
      <c r="F24" s="40" t="s">
        <v>24</v>
      </c>
      <c r="G24" s="40">
        <f>AVERAGE(G14:G23)</f>
        <v>0.82564599999999988</v>
      </c>
      <c r="H24" s="43">
        <f t="shared" ref="H24:L24" si="1">AVERAGE(H14:H23)</f>
        <v>6.3531299999999999E-2</v>
      </c>
      <c r="I24" s="43">
        <f t="shared" si="1"/>
        <v>40.828500000000005</v>
      </c>
      <c r="J24" s="43">
        <f t="shared" si="1"/>
        <v>5.6548400000000001</v>
      </c>
      <c r="K24" s="43">
        <f t="shared" si="1"/>
        <v>1456.72009</v>
      </c>
      <c r="L24" s="44">
        <f t="shared" si="1"/>
        <v>2357.0001499999998</v>
      </c>
    </row>
    <row r="26" spans="1:19" ht="15.75" thickBot="1" x14ac:dyDescent="0.3"/>
    <row r="27" spans="1:19" s="71" customFormat="1" ht="29.25" thickBot="1" x14ac:dyDescent="0.5">
      <c r="A27" s="68" t="s">
        <v>59</v>
      </c>
      <c r="B27" s="69"/>
      <c r="C27" s="70" t="s">
        <v>62</v>
      </c>
      <c r="F27" s="72"/>
    </row>
    <row r="32" spans="1:19" x14ac:dyDescent="0.25">
      <c r="D32" t="s">
        <v>23</v>
      </c>
    </row>
  </sheetData>
  <mergeCells count="8">
    <mergeCell ref="M1:S1"/>
    <mergeCell ref="B3:B12"/>
    <mergeCell ref="B14:B23"/>
    <mergeCell ref="A3:A12"/>
    <mergeCell ref="A14:A23"/>
    <mergeCell ref="C3:C12"/>
    <mergeCell ref="C14:C23"/>
    <mergeCell ref="G1:L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7"/>
  <sheetViews>
    <sheetView workbookViewId="0">
      <selection activeCell="A27" sqref="A27:XFD27"/>
    </sheetView>
  </sheetViews>
  <sheetFormatPr defaultRowHeight="15" x14ac:dyDescent="0.25"/>
  <cols>
    <col min="1" max="2" width="12.42578125" customWidth="1"/>
    <col min="3" max="3" width="12.5703125" customWidth="1"/>
    <col min="4" max="4" width="10.85546875" customWidth="1"/>
    <col min="6" max="6" width="17.140625" customWidth="1"/>
    <col min="7" max="7" width="11.140625" customWidth="1"/>
    <col min="8" max="8" width="10.140625" customWidth="1"/>
    <col min="9" max="9" width="11" customWidth="1"/>
    <col min="10" max="10" width="12.7109375" customWidth="1"/>
    <col min="11" max="11" width="10.42578125" customWidth="1"/>
    <col min="12" max="12" width="11.85546875" customWidth="1"/>
  </cols>
  <sheetData>
    <row r="1" spans="1:19" ht="15.75" thickBot="1" x14ac:dyDescent="0.3">
      <c r="A1" s="8"/>
      <c r="B1" s="8"/>
      <c r="C1" s="8"/>
      <c r="D1" s="8"/>
      <c r="E1" s="8"/>
      <c r="F1" s="9"/>
      <c r="G1" s="15" t="s">
        <v>58</v>
      </c>
      <c r="H1" s="20"/>
      <c r="I1" s="20"/>
      <c r="J1" s="20"/>
      <c r="K1" s="20"/>
      <c r="L1" s="21"/>
      <c r="M1" s="12" t="s">
        <v>57</v>
      </c>
      <c r="N1" s="13"/>
      <c r="O1" s="13"/>
      <c r="P1" s="13"/>
      <c r="Q1" s="13"/>
      <c r="R1" s="13"/>
      <c r="S1" s="14"/>
    </row>
    <row r="2" spans="1:19" x14ac:dyDescent="0.25">
      <c r="A2" s="27"/>
      <c r="B2" s="10" t="s">
        <v>64</v>
      </c>
      <c r="C2" s="31" t="s">
        <v>1</v>
      </c>
      <c r="D2" s="31" t="s">
        <v>54</v>
      </c>
      <c r="E2" s="31" t="s">
        <v>55</v>
      </c>
      <c r="F2" s="32" t="s">
        <v>56</v>
      </c>
      <c r="G2" s="33" t="s">
        <v>2</v>
      </c>
      <c r="H2" s="34" t="s">
        <v>3</v>
      </c>
      <c r="I2" s="34" t="s">
        <v>4</v>
      </c>
      <c r="J2" s="34" t="s">
        <v>5</v>
      </c>
      <c r="K2" s="34" t="s">
        <v>6</v>
      </c>
      <c r="L2" s="35" t="s">
        <v>7</v>
      </c>
      <c r="M2" s="33" t="s">
        <v>16</v>
      </c>
      <c r="N2" s="34" t="s">
        <v>17</v>
      </c>
      <c r="O2" s="34" t="s">
        <v>18</v>
      </c>
      <c r="P2" s="34" t="s">
        <v>19</v>
      </c>
      <c r="Q2" s="34" t="s">
        <v>20</v>
      </c>
      <c r="R2" s="34" t="s">
        <v>21</v>
      </c>
      <c r="S2" s="35" t="s">
        <v>22</v>
      </c>
    </row>
    <row r="3" spans="1:19" ht="15" customHeight="1" x14ac:dyDescent="0.25">
      <c r="A3" s="16" t="s">
        <v>50</v>
      </c>
      <c r="B3" s="65" t="s">
        <v>36</v>
      </c>
      <c r="C3" s="17" t="s">
        <v>11</v>
      </c>
      <c r="D3" s="19">
        <v>6</v>
      </c>
      <c r="E3" s="19">
        <v>0</v>
      </c>
      <c r="F3" s="18">
        <v>56.688699999999997</v>
      </c>
      <c r="G3" s="19">
        <v>0.90344000000000002</v>
      </c>
      <c r="H3" s="19">
        <v>0.47371000000000002</v>
      </c>
      <c r="I3" s="19">
        <v>2.3327</v>
      </c>
      <c r="J3" s="19">
        <v>0.94182999999999995</v>
      </c>
      <c r="K3" s="19">
        <v>5880.5307000000003</v>
      </c>
      <c r="L3" s="19">
        <v>7256.451</v>
      </c>
      <c r="M3" s="19">
        <v>4</v>
      </c>
      <c r="N3" s="19">
        <v>3</v>
      </c>
      <c r="O3" s="19">
        <v>1</v>
      </c>
      <c r="P3" s="19">
        <v>1</v>
      </c>
      <c r="Q3" s="19">
        <v>1</v>
      </c>
      <c r="R3" s="19">
        <v>5</v>
      </c>
      <c r="S3" s="19">
        <v>2</v>
      </c>
    </row>
    <row r="4" spans="1:19" x14ac:dyDescent="0.25">
      <c r="A4" s="16"/>
      <c r="B4" s="66"/>
      <c r="C4" s="17"/>
      <c r="D4" s="19">
        <v>1</v>
      </c>
      <c r="E4" s="19">
        <v>10</v>
      </c>
      <c r="F4" s="18">
        <v>58.289200000000001</v>
      </c>
      <c r="G4" s="19">
        <v>0.89246999999999999</v>
      </c>
      <c r="H4" s="19">
        <v>0.42741000000000001</v>
      </c>
      <c r="I4" s="19">
        <v>2.5127999999999999</v>
      </c>
      <c r="J4" s="19">
        <v>1.0495000000000001</v>
      </c>
      <c r="K4" s="19">
        <v>5621.0973999999997</v>
      </c>
      <c r="L4" s="19">
        <v>7351.9776000000002</v>
      </c>
      <c r="M4" s="19">
        <v>3</v>
      </c>
      <c r="N4" s="19">
        <v>3</v>
      </c>
      <c r="O4" s="19">
        <v>2</v>
      </c>
      <c r="P4" s="19">
        <v>2</v>
      </c>
      <c r="Q4" s="19">
        <v>2</v>
      </c>
      <c r="R4" s="19">
        <v>4</v>
      </c>
      <c r="S4" s="19">
        <v>3</v>
      </c>
    </row>
    <row r="5" spans="1:19" x14ac:dyDescent="0.25">
      <c r="A5" s="16"/>
      <c r="B5" s="66"/>
      <c r="C5" s="17"/>
      <c r="D5" s="19">
        <v>5</v>
      </c>
      <c r="E5" s="19">
        <v>20</v>
      </c>
      <c r="F5" s="18">
        <v>55.841799999999999</v>
      </c>
      <c r="G5" s="19">
        <v>0.90519000000000005</v>
      </c>
      <c r="H5" s="19">
        <v>0.48058000000000001</v>
      </c>
      <c r="I5" s="19">
        <v>2.1947999999999999</v>
      </c>
      <c r="J5" s="19">
        <v>0.88636999999999999</v>
      </c>
      <c r="K5" s="19">
        <v>6192.0708999999997</v>
      </c>
      <c r="L5" s="19">
        <v>7538.6945999999998</v>
      </c>
      <c r="M5" s="19">
        <v>4</v>
      </c>
      <c r="N5" s="19">
        <v>3</v>
      </c>
      <c r="O5" s="19">
        <v>1</v>
      </c>
      <c r="P5" s="19">
        <v>1</v>
      </c>
      <c r="Q5" s="19">
        <v>1</v>
      </c>
      <c r="R5" s="19">
        <v>4</v>
      </c>
      <c r="S5" s="19">
        <v>2</v>
      </c>
    </row>
    <row r="6" spans="1:19" x14ac:dyDescent="0.25">
      <c r="A6" s="16"/>
      <c r="B6" s="66"/>
      <c r="C6" s="17"/>
      <c r="D6" s="19">
        <v>2</v>
      </c>
      <c r="E6" s="19">
        <v>25</v>
      </c>
      <c r="F6" s="18">
        <v>57.616700000000002</v>
      </c>
      <c r="G6" s="19">
        <v>0.89493</v>
      </c>
      <c r="H6" s="19">
        <v>0.4476</v>
      </c>
      <c r="I6" s="19">
        <v>2.2263000000000002</v>
      </c>
      <c r="J6" s="19">
        <v>0.91522999999999999</v>
      </c>
      <c r="K6" s="19">
        <v>6059.2611999999999</v>
      </c>
      <c r="L6" s="19">
        <v>7580.4278000000004</v>
      </c>
      <c r="M6" s="19">
        <v>3</v>
      </c>
      <c r="N6" s="19">
        <v>2</v>
      </c>
      <c r="O6" s="19">
        <v>3</v>
      </c>
      <c r="P6" s="19">
        <v>2</v>
      </c>
      <c r="Q6" s="19">
        <v>2</v>
      </c>
      <c r="R6" s="19">
        <v>4</v>
      </c>
      <c r="S6" s="19">
        <v>3</v>
      </c>
    </row>
    <row r="7" spans="1:19" x14ac:dyDescent="0.25">
      <c r="A7" s="16"/>
      <c r="B7" s="66"/>
      <c r="C7" s="17"/>
      <c r="D7" s="19">
        <v>4</v>
      </c>
      <c r="E7" s="19">
        <v>30</v>
      </c>
      <c r="F7" s="18">
        <v>56.054200000000002</v>
      </c>
      <c r="G7" s="19">
        <v>0.90744999999999998</v>
      </c>
      <c r="H7" s="19">
        <v>0.48138999999999998</v>
      </c>
      <c r="I7" s="19">
        <v>2.2980999999999998</v>
      </c>
      <c r="J7" s="19">
        <v>0.92734000000000005</v>
      </c>
      <c r="K7" s="19">
        <v>6049.5064000000002</v>
      </c>
      <c r="L7" s="19">
        <v>7360.2479999999996</v>
      </c>
      <c r="M7" s="19">
        <v>4</v>
      </c>
      <c r="N7" s="19">
        <v>2</v>
      </c>
      <c r="O7" s="19">
        <v>1</v>
      </c>
      <c r="P7" s="19">
        <v>2</v>
      </c>
      <c r="Q7" s="19">
        <v>1</v>
      </c>
      <c r="R7" s="19">
        <v>5</v>
      </c>
      <c r="S7" s="19">
        <v>2</v>
      </c>
    </row>
    <row r="8" spans="1:19" x14ac:dyDescent="0.25">
      <c r="A8" s="16"/>
      <c r="B8" s="66"/>
      <c r="C8" s="17"/>
      <c r="D8" s="19">
        <v>3</v>
      </c>
      <c r="E8" s="19">
        <v>25</v>
      </c>
      <c r="F8" s="18">
        <v>56.419600000000003</v>
      </c>
      <c r="G8" s="19">
        <v>0.89988000000000001</v>
      </c>
      <c r="H8" s="19">
        <v>0.45301000000000002</v>
      </c>
      <c r="I8" s="19">
        <v>2.2745000000000002</v>
      </c>
      <c r="J8" s="19">
        <v>0.93872999999999995</v>
      </c>
      <c r="K8" s="19">
        <v>6025.5451000000003</v>
      </c>
      <c r="L8" s="19">
        <v>7527.4817000000003</v>
      </c>
      <c r="M8" s="19">
        <v>4</v>
      </c>
      <c r="N8" s="19">
        <v>2</v>
      </c>
      <c r="O8" s="19">
        <v>1</v>
      </c>
      <c r="P8" s="19">
        <v>2</v>
      </c>
      <c r="Q8" s="19">
        <v>1</v>
      </c>
      <c r="R8" s="19">
        <v>5</v>
      </c>
      <c r="S8" s="19">
        <v>2</v>
      </c>
    </row>
    <row r="9" spans="1:19" x14ac:dyDescent="0.25">
      <c r="A9" s="16"/>
      <c r="B9" s="66"/>
      <c r="C9" s="17"/>
      <c r="D9" s="19">
        <v>7</v>
      </c>
      <c r="E9" s="19">
        <v>40</v>
      </c>
      <c r="F9" s="18">
        <v>55.302799999999998</v>
      </c>
      <c r="G9" s="19">
        <v>0.90368000000000004</v>
      </c>
      <c r="H9" s="19">
        <v>0.47405000000000003</v>
      </c>
      <c r="I9" s="19">
        <v>2.2826</v>
      </c>
      <c r="J9" s="19">
        <v>0.92242000000000002</v>
      </c>
      <c r="K9" s="19">
        <v>5966</v>
      </c>
      <c r="L9" s="19">
        <v>7321.1286</v>
      </c>
      <c r="M9" s="19">
        <v>2</v>
      </c>
      <c r="N9" s="19">
        <v>2</v>
      </c>
      <c r="O9" s="19">
        <v>3</v>
      </c>
      <c r="P9" s="19">
        <v>1</v>
      </c>
      <c r="Q9" s="19">
        <v>2</v>
      </c>
      <c r="R9" s="19">
        <v>3</v>
      </c>
      <c r="S9" s="19">
        <v>4</v>
      </c>
    </row>
    <row r="10" spans="1:19" x14ac:dyDescent="0.25">
      <c r="A10" s="16"/>
      <c r="B10" s="66"/>
      <c r="C10" s="17"/>
      <c r="D10" s="19">
        <v>8</v>
      </c>
      <c r="E10" s="19">
        <v>60</v>
      </c>
      <c r="F10" s="18">
        <v>53.696899999999999</v>
      </c>
      <c r="G10" s="19">
        <v>0.91768000000000005</v>
      </c>
      <c r="H10" s="19">
        <v>0.52405999999999997</v>
      </c>
      <c r="I10" s="19">
        <v>2.2942</v>
      </c>
      <c r="J10" s="19">
        <v>0.88244</v>
      </c>
      <c r="K10" s="19">
        <v>6169.0234</v>
      </c>
      <c r="L10" s="19">
        <v>7146.9143000000004</v>
      </c>
      <c r="M10" s="19">
        <v>2</v>
      </c>
      <c r="N10" s="19">
        <v>1</v>
      </c>
      <c r="O10" s="19">
        <v>4</v>
      </c>
      <c r="P10" s="19">
        <v>1</v>
      </c>
      <c r="Q10" s="19">
        <v>3</v>
      </c>
      <c r="R10" s="19">
        <v>3</v>
      </c>
      <c r="S10" s="19">
        <v>5</v>
      </c>
    </row>
    <row r="11" spans="1:19" x14ac:dyDescent="0.25">
      <c r="A11" s="16"/>
      <c r="B11" s="66"/>
      <c r="C11" s="17"/>
      <c r="D11" s="19">
        <v>9</v>
      </c>
      <c r="E11" s="19">
        <v>80</v>
      </c>
      <c r="F11" s="18">
        <v>48.877099999999999</v>
      </c>
      <c r="G11" s="19">
        <v>0.93479000000000001</v>
      </c>
      <c r="H11" s="19">
        <v>0.57552999999999999</v>
      </c>
      <c r="I11" s="19">
        <v>2.2692000000000001</v>
      </c>
      <c r="J11" s="19">
        <v>0.83038999999999996</v>
      </c>
      <c r="K11" s="19">
        <v>6406.9390999999996</v>
      </c>
      <c r="L11" s="19">
        <v>6952.9314000000004</v>
      </c>
      <c r="M11" s="19">
        <v>1</v>
      </c>
      <c r="N11" s="19">
        <v>1</v>
      </c>
      <c r="O11" s="19">
        <v>5</v>
      </c>
      <c r="P11" s="19">
        <v>1</v>
      </c>
      <c r="Q11" s="19">
        <v>5</v>
      </c>
      <c r="R11" s="19">
        <v>2</v>
      </c>
      <c r="S11" s="19">
        <v>5</v>
      </c>
    </row>
    <row r="12" spans="1:19" ht="15.75" thickBot="1" x14ac:dyDescent="0.3">
      <c r="A12" s="16"/>
      <c r="B12" s="67"/>
      <c r="C12" s="17"/>
      <c r="D12" s="19">
        <v>10</v>
      </c>
      <c r="E12" s="19">
        <v>120</v>
      </c>
      <c r="F12" s="26">
        <v>44.835099999999997</v>
      </c>
      <c r="G12" s="30" t="s">
        <v>53</v>
      </c>
      <c r="H12" s="30" t="s">
        <v>53</v>
      </c>
      <c r="I12" s="30" t="s">
        <v>53</v>
      </c>
      <c r="J12" s="30" t="s">
        <v>53</v>
      </c>
      <c r="K12" s="30" t="s">
        <v>53</v>
      </c>
      <c r="L12" s="30" t="s">
        <v>53</v>
      </c>
      <c r="M12" s="19">
        <v>1</v>
      </c>
      <c r="N12" s="19">
        <v>1</v>
      </c>
      <c r="O12" s="19">
        <v>5</v>
      </c>
      <c r="P12" s="19">
        <v>1</v>
      </c>
      <c r="Q12" s="19">
        <v>5</v>
      </c>
      <c r="R12" s="19">
        <v>3</v>
      </c>
      <c r="S12" s="19">
        <v>5</v>
      </c>
    </row>
    <row r="13" spans="1:19" ht="15.75" thickBot="1" x14ac:dyDescent="0.3">
      <c r="A13" s="8"/>
      <c r="B13" s="8"/>
      <c r="F13" s="42" t="s">
        <v>24</v>
      </c>
      <c r="G13" s="2">
        <f>AVERAGE(G3:G12)</f>
        <v>0.90661222222222237</v>
      </c>
      <c r="H13" s="3">
        <f t="shared" ref="H13:L13" si="0">AVERAGE(H3:H12)</f>
        <v>0.48192666666666667</v>
      </c>
      <c r="I13" s="3">
        <f t="shared" si="0"/>
        <v>2.2983555555555557</v>
      </c>
      <c r="J13" s="3">
        <f t="shared" si="0"/>
        <v>0.92158333333333331</v>
      </c>
      <c r="K13" s="3">
        <f t="shared" si="0"/>
        <v>6041.1082444444437</v>
      </c>
      <c r="L13" s="4">
        <f t="shared" si="0"/>
        <v>7337.3616666666676</v>
      </c>
    </row>
    <row r="14" spans="1:19" ht="15" customHeight="1" x14ac:dyDescent="0.25">
      <c r="A14" s="16" t="s">
        <v>49</v>
      </c>
      <c r="B14" s="65" t="s">
        <v>35</v>
      </c>
      <c r="C14" s="17" t="s">
        <v>12</v>
      </c>
      <c r="D14" s="19">
        <v>6</v>
      </c>
      <c r="E14" s="19">
        <v>0</v>
      </c>
      <c r="F14" s="28">
        <v>114.8155</v>
      </c>
      <c r="G14" s="28">
        <v>0.86019000000000001</v>
      </c>
      <c r="H14" s="28">
        <v>0.13316</v>
      </c>
      <c r="I14" s="28">
        <v>14.9701</v>
      </c>
      <c r="J14" s="28">
        <v>3.1556000000000002</v>
      </c>
      <c r="K14" s="28">
        <v>1881.6378</v>
      </c>
      <c r="L14" s="28">
        <v>2871.3955000000001</v>
      </c>
      <c r="M14" s="19">
        <v>5</v>
      </c>
      <c r="N14" s="19">
        <v>5</v>
      </c>
      <c r="O14" s="19">
        <v>1</v>
      </c>
      <c r="P14" s="19">
        <v>2</v>
      </c>
      <c r="Q14" s="19">
        <v>1</v>
      </c>
      <c r="R14" s="19">
        <v>5</v>
      </c>
      <c r="S14" s="19">
        <v>4</v>
      </c>
    </row>
    <row r="15" spans="1:19" x14ac:dyDescent="0.25">
      <c r="A15" s="16"/>
      <c r="B15" s="66"/>
      <c r="C15" s="17"/>
      <c r="D15" s="19">
        <v>1</v>
      </c>
      <c r="E15" s="19">
        <v>10</v>
      </c>
      <c r="F15" s="19">
        <v>116.7666</v>
      </c>
      <c r="G15" s="19">
        <v>0.87439</v>
      </c>
      <c r="H15" s="19">
        <v>0.14538999999999999</v>
      </c>
      <c r="I15" s="19">
        <v>13.523300000000001</v>
      </c>
      <c r="J15" s="19">
        <v>2.9426000000000001</v>
      </c>
      <c r="K15" s="19">
        <v>2084.386</v>
      </c>
      <c r="L15" s="19">
        <v>2942.5936999999999</v>
      </c>
      <c r="M15" s="19">
        <v>4</v>
      </c>
      <c r="N15" s="19">
        <v>5</v>
      </c>
      <c r="O15" s="19">
        <v>1</v>
      </c>
      <c r="P15" s="19">
        <v>2</v>
      </c>
      <c r="Q15" s="19">
        <v>1</v>
      </c>
      <c r="R15" s="19">
        <v>5</v>
      </c>
      <c r="S15" s="19">
        <v>4</v>
      </c>
    </row>
    <row r="16" spans="1:19" x14ac:dyDescent="0.25">
      <c r="A16" s="16"/>
      <c r="B16" s="66"/>
      <c r="C16" s="17"/>
      <c r="D16" s="19">
        <v>5</v>
      </c>
      <c r="E16" s="19">
        <v>20</v>
      </c>
      <c r="F16" s="19">
        <v>114.01</v>
      </c>
      <c r="G16" s="19">
        <v>0.86306000000000005</v>
      </c>
      <c r="H16" s="19">
        <v>0.12848999999999999</v>
      </c>
      <c r="I16" s="19">
        <v>15.4156</v>
      </c>
      <c r="J16" s="19">
        <v>3.1907000000000001</v>
      </c>
      <c r="K16" s="19">
        <v>1870.4313</v>
      </c>
      <c r="L16" s="19">
        <v>2800.6098000000002</v>
      </c>
      <c r="M16" s="19">
        <v>5</v>
      </c>
      <c r="N16" s="19">
        <v>5</v>
      </c>
      <c r="O16" s="19">
        <v>1</v>
      </c>
      <c r="P16" s="19">
        <v>1</v>
      </c>
      <c r="Q16" s="19">
        <v>1</v>
      </c>
      <c r="R16" s="19">
        <v>4</v>
      </c>
      <c r="S16" s="19">
        <v>5</v>
      </c>
    </row>
    <row r="17" spans="1:19" x14ac:dyDescent="0.25">
      <c r="A17" s="16"/>
      <c r="B17" s="66"/>
      <c r="C17" s="17"/>
      <c r="D17" s="19">
        <v>2</v>
      </c>
      <c r="E17" s="19">
        <v>25</v>
      </c>
      <c r="F17" s="19">
        <v>115.875</v>
      </c>
      <c r="G17" s="19">
        <v>0.86556999999999995</v>
      </c>
      <c r="H17" s="19">
        <v>0.13302</v>
      </c>
      <c r="I17" s="19">
        <v>14.667400000000001</v>
      </c>
      <c r="J17" s="19">
        <v>3.0813999999999999</v>
      </c>
      <c r="K17" s="19">
        <v>1928.6072999999999</v>
      </c>
      <c r="L17" s="19">
        <v>2844.9503</v>
      </c>
      <c r="M17" s="19">
        <v>4</v>
      </c>
      <c r="N17" s="19">
        <v>5</v>
      </c>
      <c r="O17" s="19">
        <v>1</v>
      </c>
      <c r="P17" s="19">
        <v>2</v>
      </c>
      <c r="Q17" s="19">
        <v>1</v>
      </c>
      <c r="R17" s="19">
        <v>4</v>
      </c>
      <c r="S17" s="19">
        <v>5</v>
      </c>
    </row>
    <row r="18" spans="1:19" x14ac:dyDescent="0.25">
      <c r="A18" s="16"/>
      <c r="B18" s="66"/>
      <c r="C18" s="17"/>
      <c r="D18" s="19">
        <v>4</v>
      </c>
      <c r="E18" s="19">
        <v>30</v>
      </c>
      <c r="F18" s="19">
        <v>113.6228</v>
      </c>
      <c r="G18" s="19">
        <v>0.85848000000000002</v>
      </c>
      <c r="H18" s="19">
        <v>0.12759999999999999</v>
      </c>
      <c r="I18" s="19">
        <v>15.465400000000001</v>
      </c>
      <c r="J18" s="19">
        <v>3.2052999999999998</v>
      </c>
      <c r="K18" s="19">
        <v>1818.6727000000001</v>
      </c>
      <c r="L18" s="19">
        <v>2814.6333</v>
      </c>
      <c r="M18" s="19">
        <v>4</v>
      </c>
      <c r="N18" s="19">
        <v>4</v>
      </c>
      <c r="O18" s="19">
        <v>1</v>
      </c>
      <c r="P18" s="19">
        <v>2</v>
      </c>
      <c r="Q18" s="19">
        <v>1</v>
      </c>
      <c r="R18" s="19">
        <v>5</v>
      </c>
      <c r="S18" s="19">
        <v>5</v>
      </c>
    </row>
    <row r="19" spans="1:19" x14ac:dyDescent="0.25">
      <c r="A19" s="16"/>
      <c r="B19" s="66"/>
      <c r="C19" s="17"/>
      <c r="D19" s="19">
        <v>3</v>
      </c>
      <c r="E19" s="19">
        <v>25</v>
      </c>
      <c r="F19" s="19">
        <v>114.6105</v>
      </c>
      <c r="G19" s="19">
        <v>0.85938000000000003</v>
      </c>
      <c r="H19" s="19">
        <v>0.12634999999999999</v>
      </c>
      <c r="I19" s="19">
        <v>15.7033</v>
      </c>
      <c r="J19" s="19">
        <v>3.2286000000000001</v>
      </c>
      <c r="K19" s="19">
        <v>1821.1194</v>
      </c>
      <c r="L19" s="19">
        <v>2798.7118</v>
      </c>
      <c r="M19" s="19">
        <v>5</v>
      </c>
      <c r="N19" s="19">
        <v>5</v>
      </c>
      <c r="O19" s="19">
        <v>2</v>
      </c>
      <c r="P19" s="19">
        <v>3</v>
      </c>
      <c r="Q19" s="19">
        <v>1</v>
      </c>
      <c r="R19" s="19">
        <v>5</v>
      </c>
      <c r="S19" s="19">
        <v>5</v>
      </c>
    </row>
    <row r="20" spans="1:19" x14ac:dyDescent="0.25">
      <c r="A20" s="16"/>
      <c r="B20" s="66"/>
      <c r="C20" s="17"/>
      <c r="D20" s="19">
        <v>7</v>
      </c>
      <c r="E20" s="19">
        <v>40</v>
      </c>
      <c r="F20" s="19">
        <v>112.0515</v>
      </c>
      <c r="G20" s="19">
        <v>0.86617999999999995</v>
      </c>
      <c r="H20" s="19">
        <v>0.14446999999999999</v>
      </c>
      <c r="I20" s="19">
        <v>13.667299999999999</v>
      </c>
      <c r="J20" s="19">
        <v>2.9925000000000002</v>
      </c>
      <c r="K20" s="19">
        <v>2000.6332</v>
      </c>
      <c r="L20" s="19">
        <v>2974.2822999999999</v>
      </c>
      <c r="M20" s="19">
        <v>4</v>
      </c>
      <c r="N20" s="19">
        <v>4</v>
      </c>
      <c r="O20" s="19">
        <v>1</v>
      </c>
      <c r="P20" s="19">
        <v>3</v>
      </c>
      <c r="Q20" s="19">
        <v>1</v>
      </c>
      <c r="R20" s="19">
        <v>4</v>
      </c>
      <c r="S20" s="19">
        <v>5</v>
      </c>
    </row>
    <row r="21" spans="1:19" x14ac:dyDescent="0.25">
      <c r="A21" s="16"/>
      <c r="B21" s="66"/>
      <c r="C21" s="17"/>
      <c r="D21" s="19">
        <v>8</v>
      </c>
      <c r="E21" s="19">
        <v>60</v>
      </c>
      <c r="F21" s="19">
        <v>108.7278</v>
      </c>
      <c r="G21" s="19">
        <v>0.86704000000000003</v>
      </c>
      <c r="H21" s="19">
        <v>0.1409</v>
      </c>
      <c r="I21" s="19">
        <v>13.8523</v>
      </c>
      <c r="J21" s="19">
        <v>3.0065</v>
      </c>
      <c r="K21" s="19">
        <v>2001.4195999999999</v>
      </c>
      <c r="L21" s="19">
        <v>2929.299</v>
      </c>
      <c r="M21" s="19">
        <v>3</v>
      </c>
      <c r="N21" s="19">
        <v>4</v>
      </c>
      <c r="O21" s="19">
        <v>1</v>
      </c>
      <c r="P21" s="19">
        <v>2</v>
      </c>
      <c r="Q21" s="19">
        <v>1</v>
      </c>
      <c r="R21" s="19">
        <v>4</v>
      </c>
      <c r="S21" s="19">
        <v>4</v>
      </c>
    </row>
    <row r="22" spans="1:19" x14ac:dyDescent="0.25">
      <c r="A22" s="16"/>
      <c r="B22" s="66"/>
      <c r="C22" s="17"/>
      <c r="D22" s="19">
        <v>9</v>
      </c>
      <c r="E22" s="19">
        <v>80</v>
      </c>
      <c r="F22" s="19">
        <v>98.755799999999994</v>
      </c>
      <c r="G22" s="19">
        <v>0.86780999999999997</v>
      </c>
      <c r="H22" s="19">
        <v>0.14349000000000001</v>
      </c>
      <c r="I22" s="19">
        <v>13.630100000000001</v>
      </c>
      <c r="J22" s="19">
        <v>2.9679000000000002</v>
      </c>
      <c r="K22" s="19">
        <v>2013.4339</v>
      </c>
      <c r="L22" s="19">
        <v>2958.9560000000001</v>
      </c>
      <c r="M22" s="19">
        <v>5</v>
      </c>
      <c r="N22" s="19">
        <v>5</v>
      </c>
      <c r="O22" s="19">
        <v>1</v>
      </c>
      <c r="P22" s="19">
        <v>1</v>
      </c>
      <c r="Q22" s="19">
        <v>1</v>
      </c>
      <c r="R22" s="19">
        <v>4</v>
      </c>
      <c r="S22" s="19">
        <v>5</v>
      </c>
    </row>
    <row r="23" spans="1:19" ht="15.75" thickBot="1" x14ac:dyDescent="0.3">
      <c r="A23" s="16"/>
      <c r="B23" s="67"/>
      <c r="C23" s="17"/>
      <c r="D23" s="19">
        <v>10</v>
      </c>
      <c r="E23" s="19">
        <v>120</v>
      </c>
      <c r="F23" s="30">
        <v>92.674599999999998</v>
      </c>
      <c r="G23" s="30">
        <v>0.87453999999999998</v>
      </c>
      <c r="H23" s="30">
        <v>0.15833</v>
      </c>
      <c r="I23" s="30">
        <v>12.570600000000001</v>
      </c>
      <c r="J23" s="30">
        <v>2.8279000000000001</v>
      </c>
      <c r="K23" s="30">
        <v>2177.2709</v>
      </c>
      <c r="L23" s="30">
        <v>3079.346</v>
      </c>
      <c r="M23" s="19">
        <v>5</v>
      </c>
      <c r="N23" s="19">
        <v>5</v>
      </c>
      <c r="O23" s="19">
        <v>1</v>
      </c>
      <c r="P23" s="19">
        <v>1</v>
      </c>
      <c r="Q23" s="19">
        <v>1</v>
      </c>
      <c r="R23" s="19">
        <v>3</v>
      </c>
      <c r="S23" s="19">
        <v>5</v>
      </c>
    </row>
    <row r="24" spans="1:19" ht="15.75" thickBot="1" x14ac:dyDescent="0.3">
      <c r="B24" s="8"/>
      <c r="F24" s="29" t="s">
        <v>24</v>
      </c>
      <c r="G24" s="38">
        <f>AVERAGE(G14:G23)</f>
        <v>0.86566399999999999</v>
      </c>
      <c r="H24" s="38">
        <f t="shared" ref="H24:L24" si="1">AVERAGE(H14:H23)</f>
        <v>0.13811999999999999</v>
      </c>
      <c r="I24" s="38">
        <f t="shared" si="1"/>
        <v>14.346540000000001</v>
      </c>
      <c r="J24" s="38">
        <f t="shared" si="1"/>
        <v>3.0598999999999998</v>
      </c>
      <c r="K24" s="38">
        <f t="shared" si="1"/>
        <v>1959.7612099999999</v>
      </c>
      <c r="L24" s="39">
        <f t="shared" si="1"/>
        <v>2901.4777700000004</v>
      </c>
    </row>
    <row r="26" spans="1:19" ht="15.75" thickBot="1" x14ac:dyDescent="0.3"/>
    <row r="27" spans="1:19" s="71" customFormat="1" ht="29.25" thickBot="1" x14ac:dyDescent="0.5">
      <c r="A27" s="68" t="s">
        <v>59</v>
      </c>
      <c r="B27" s="69"/>
      <c r="C27" s="70" t="s">
        <v>62</v>
      </c>
      <c r="F27" s="72"/>
    </row>
  </sheetData>
  <mergeCells count="8">
    <mergeCell ref="M1:S1"/>
    <mergeCell ref="B3:B12"/>
    <mergeCell ref="B14:B23"/>
    <mergeCell ref="A3:A12"/>
    <mergeCell ref="A14:A23"/>
    <mergeCell ref="C3:C12"/>
    <mergeCell ref="C14:C23"/>
    <mergeCell ref="G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7"/>
  <sheetViews>
    <sheetView workbookViewId="0">
      <selection activeCell="L27" sqref="L27:W29"/>
    </sheetView>
  </sheetViews>
  <sheetFormatPr defaultRowHeight="15" x14ac:dyDescent="0.25"/>
  <cols>
    <col min="1" max="2" width="12.42578125" customWidth="1"/>
    <col min="3" max="3" width="12.5703125" customWidth="1"/>
    <col min="4" max="4" width="12.7109375" customWidth="1"/>
    <col min="6" max="6" width="17.85546875" customWidth="1"/>
    <col min="7" max="7" width="11.140625" customWidth="1"/>
    <col min="8" max="8" width="10.140625" customWidth="1"/>
    <col min="9" max="9" width="11" customWidth="1"/>
    <col min="10" max="10" width="12.7109375" customWidth="1"/>
    <col min="11" max="11" width="10.42578125" customWidth="1"/>
    <col min="12" max="12" width="11.85546875" customWidth="1"/>
  </cols>
  <sheetData>
    <row r="1" spans="1:19" ht="15.75" thickBot="1" x14ac:dyDescent="0.3">
      <c r="A1" s="8"/>
      <c r="B1" s="8"/>
      <c r="C1" s="8"/>
      <c r="D1" s="8"/>
      <c r="E1" s="8"/>
      <c r="F1" s="9"/>
      <c r="G1" s="15" t="s">
        <v>58</v>
      </c>
      <c r="H1" s="20"/>
      <c r="I1" s="20"/>
      <c r="J1" s="20"/>
      <c r="K1" s="20"/>
      <c r="L1" s="21"/>
      <c r="M1" s="12" t="s">
        <v>57</v>
      </c>
      <c r="N1" s="13"/>
      <c r="O1" s="13"/>
      <c r="P1" s="13"/>
      <c r="Q1" s="13"/>
      <c r="R1" s="13"/>
      <c r="S1" s="14"/>
    </row>
    <row r="2" spans="1:19" x14ac:dyDescent="0.25">
      <c r="A2" s="27"/>
      <c r="B2" s="10" t="s">
        <v>64</v>
      </c>
      <c r="C2" s="31" t="s">
        <v>1</v>
      </c>
      <c r="D2" s="31" t="s">
        <v>54</v>
      </c>
      <c r="E2" s="31" t="s">
        <v>55</v>
      </c>
      <c r="F2" s="32" t="s">
        <v>56</v>
      </c>
      <c r="G2" s="33" t="s">
        <v>2</v>
      </c>
      <c r="H2" s="34" t="s">
        <v>3</v>
      </c>
      <c r="I2" s="34" t="s">
        <v>4</v>
      </c>
      <c r="J2" s="34" t="s">
        <v>5</v>
      </c>
      <c r="K2" s="34" t="s">
        <v>6</v>
      </c>
      <c r="L2" s="35" t="s">
        <v>7</v>
      </c>
      <c r="M2" s="33" t="s">
        <v>16</v>
      </c>
      <c r="N2" s="34" t="s">
        <v>17</v>
      </c>
      <c r="O2" s="34" t="s">
        <v>18</v>
      </c>
      <c r="P2" s="34" t="s">
        <v>19</v>
      </c>
      <c r="Q2" s="34" t="s">
        <v>20</v>
      </c>
      <c r="R2" s="34" t="s">
        <v>21</v>
      </c>
      <c r="S2" s="35" t="s">
        <v>22</v>
      </c>
    </row>
    <row r="3" spans="1:19" ht="15" customHeight="1" x14ac:dyDescent="0.25">
      <c r="A3" s="16" t="s">
        <v>50</v>
      </c>
      <c r="B3" s="65" t="s">
        <v>38</v>
      </c>
      <c r="C3" s="17" t="s">
        <v>11</v>
      </c>
      <c r="D3" s="19">
        <v>6</v>
      </c>
      <c r="E3" s="19">
        <v>0</v>
      </c>
      <c r="F3" s="18">
        <v>127.824</v>
      </c>
      <c r="G3" s="19">
        <v>0.81311</v>
      </c>
      <c r="H3" s="19">
        <v>0.29009000000000001</v>
      </c>
      <c r="I3" s="19">
        <v>4.6130000000000004</v>
      </c>
      <c r="J3" s="19">
        <v>1.7366999999999999</v>
      </c>
      <c r="K3" s="19">
        <v>3422.415</v>
      </c>
      <c r="L3" s="19">
        <v>6110.8252000000002</v>
      </c>
      <c r="M3" s="19">
        <v>5</v>
      </c>
      <c r="N3" s="19">
        <v>4</v>
      </c>
      <c r="O3" s="19">
        <v>1</v>
      </c>
      <c r="P3" s="19">
        <v>1</v>
      </c>
      <c r="Q3" s="19">
        <v>1</v>
      </c>
      <c r="R3" s="19">
        <v>5</v>
      </c>
      <c r="S3" s="19">
        <v>1</v>
      </c>
    </row>
    <row r="4" spans="1:19" x14ac:dyDescent="0.25">
      <c r="A4" s="16"/>
      <c r="B4" s="66"/>
      <c r="C4" s="17"/>
      <c r="D4" s="19">
        <v>1</v>
      </c>
      <c r="E4" s="19">
        <v>10</v>
      </c>
      <c r="F4" s="18">
        <v>74.393699999999995</v>
      </c>
      <c r="G4" s="19">
        <v>0.82257000000000002</v>
      </c>
      <c r="H4" s="19">
        <v>0.32512000000000002</v>
      </c>
      <c r="I4" s="19">
        <v>3.831</v>
      </c>
      <c r="J4" s="19">
        <v>1.5112000000000001</v>
      </c>
      <c r="K4" s="19">
        <v>3903.8471</v>
      </c>
      <c r="L4" s="19">
        <v>6431.2157999999999</v>
      </c>
      <c r="M4" s="19">
        <v>5</v>
      </c>
      <c r="N4" s="19">
        <v>4</v>
      </c>
      <c r="O4" s="19">
        <v>1</v>
      </c>
      <c r="P4" s="19">
        <v>1</v>
      </c>
      <c r="Q4" s="19">
        <v>1</v>
      </c>
      <c r="R4" s="19">
        <v>5</v>
      </c>
      <c r="S4" s="19">
        <v>3</v>
      </c>
    </row>
    <row r="5" spans="1:19" x14ac:dyDescent="0.25">
      <c r="A5" s="16"/>
      <c r="B5" s="66"/>
      <c r="C5" s="17"/>
      <c r="D5" s="19">
        <v>5</v>
      </c>
      <c r="E5" s="19">
        <v>20</v>
      </c>
      <c r="F5" s="18">
        <v>119.5821</v>
      </c>
      <c r="G5" s="19">
        <v>0.80935999999999997</v>
      </c>
      <c r="H5" s="19">
        <v>0.27544000000000002</v>
      </c>
      <c r="I5" s="19">
        <v>5.1125999999999996</v>
      </c>
      <c r="J5" s="19">
        <v>1.8624000000000001</v>
      </c>
      <c r="K5" s="19">
        <v>3174.8287999999998</v>
      </c>
      <c r="L5" s="19">
        <v>5902.3136000000004</v>
      </c>
      <c r="M5" s="19">
        <v>5</v>
      </c>
      <c r="N5" s="19">
        <v>4</v>
      </c>
      <c r="O5" s="19">
        <v>2</v>
      </c>
      <c r="P5" s="19">
        <v>1</v>
      </c>
      <c r="Q5" s="19">
        <v>1</v>
      </c>
      <c r="R5" s="19">
        <v>5</v>
      </c>
      <c r="S5" s="19">
        <v>1</v>
      </c>
    </row>
    <row r="6" spans="1:19" x14ac:dyDescent="0.25">
      <c r="A6" s="16"/>
      <c r="B6" s="66"/>
      <c r="C6" s="17"/>
      <c r="D6" s="19">
        <v>2</v>
      </c>
      <c r="E6" s="19">
        <v>25</v>
      </c>
      <c r="F6" s="18">
        <v>120.2085</v>
      </c>
      <c r="G6" s="19">
        <v>0.82374000000000003</v>
      </c>
      <c r="H6" s="19">
        <v>0.32566000000000001</v>
      </c>
      <c r="I6" s="19">
        <v>3.8841000000000001</v>
      </c>
      <c r="J6" s="19">
        <v>1.5251999999999999</v>
      </c>
      <c r="K6" s="19">
        <v>3877.9371000000001</v>
      </c>
      <c r="L6" s="19">
        <v>6394.3959999999997</v>
      </c>
      <c r="M6" s="19">
        <v>5</v>
      </c>
      <c r="N6" s="19">
        <v>4</v>
      </c>
      <c r="O6" s="19">
        <v>1</v>
      </c>
      <c r="P6" s="19">
        <v>1</v>
      </c>
      <c r="Q6" s="19">
        <v>1</v>
      </c>
      <c r="R6" s="19">
        <v>5</v>
      </c>
      <c r="S6" s="19">
        <v>3</v>
      </c>
    </row>
    <row r="7" spans="1:19" x14ac:dyDescent="0.25">
      <c r="A7" s="16"/>
      <c r="B7" s="66"/>
      <c r="C7" s="17"/>
      <c r="D7" s="19">
        <v>4</v>
      </c>
      <c r="E7" s="19">
        <v>30</v>
      </c>
      <c r="F7" s="18">
        <v>69.260400000000004</v>
      </c>
      <c r="G7" s="19">
        <v>0.81084999999999996</v>
      </c>
      <c r="H7" s="19">
        <v>0.27803</v>
      </c>
      <c r="I7" s="19">
        <v>4.9043999999999999</v>
      </c>
      <c r="J7" s="19">
        <v>1.8120000000000001</v>
      </c>
      <c r="K7" s="19">
        <v>3256.8254999999999</v>
      </c>
      <c r="L7" s="19">
        <v>5980.1503000000002</v>
      </c>
      <c r="M7" s="19">
        <v>5</v>
      </c>
      <c r="N7" s="19">
        <v>4</v>
      </c>
      <c r="O7" s="19">
        <v>1</v>
      </c>
      <c r="P7" s="19">
        <v>1</v>
      </c>
      <c r="Q7" s="19">
        <v>1</v>
      </c>
      <c r="R7" s="19">
        <v>5</v>
      </c>
      <c r="S7" s="19">
        <v>2</v>
      </c>
    </row>
    <row r="8" spans="1:19" x14ac:dyDescent="0.25">
      <c r="A8" s="16"/>
      <c r="B8" s="66"/>
      <c r="C8" s="17"/>
      <c r="D8" s="19">
        <v>3</v>
      </c>
      <c r="E8" s="19">
        <v>25</v>
      </c>
      <c r="F8" s="18">
        <v>116.3348</v>
      </c>
      <c r="G8" s="19">
        <v>0.81569000000000003</v>
      </c>
      <c r="H8" s="19">
        <v>0.30753999999999998</v>
      </c>
      <c r="I8" s="19">
        <v>4.2267000000000001</v>
      </c>
      <c r="J8" s="19">
        <v>1.6278999999999999</v>
      </c>
      <c r="K8" s="19">
        <v>3643.3908000000001</v>
      </c>
      <c r="L8" s="19">
        <v>6246.5965999999999</v>
      </c>
      <c r="M8" s="19">
        <v>5</v>
      </c>
      <c r="N8" s="19">
        <v>3</v>
      </c>
      <c r="O8" s="19">
        <v>1</v>
      </c>
      <c r="P8" s="19">
        <v>1</v>
      </c>
      <c r="Q8" s="19">
        <v>1</v>
      </c>
      <c r="R8" s="19">
        <v>5</v>
      </c>
      <c r="S8" s="19">
        <v>2</v>
      </c>
    </row>
    <row r="9" spans="1:19" x14ac:dyDescent="0.25">
      <c r="A9" s="16"/>
      <c r="B9" s="66"/>
      <c r="C9" s="17"/>
      <c r="D9" s="19">
        <v>7</v>
      </c>
      <c r="E9" s="19">
        <v>40</v>
      </c>
      <c r="F9" s="18">
        <v>69.500100000000003</v>
      </c>
      <c r="G9" s="19">
        <v>0.80894999999999995</v>
      </c>
      <c r="H9" s="19">
        <v>0.27378999999999998</v>
      </c>
      <c r="I9" s="19">
        <v>5.0391000000000004</v>
      </c>
      <c r="J9" s="19">
        <v>1.8483000000000001</v>
      </c>
      <c r="K9" s="19">
        <v>3216.5472</v>
      </c>
      <c r="L9" s="19">
        <v>5965.8732</v>
      </c>
      <c r="M9" s="19">
        <v>5</v>
      </c>
      <c r="N9" s="19">
        <v>4</v>
      </c>
      <c r="O9" s="19">
        <v>1</v>
      </c>
      <c r="P9" s="19">
        <v>1</v>
      </c>
      <c r="Q9" s="19">
        <v>1</v>
      </c>
      <c r="R9" s="19">
        <v>5</v>
      </c>
      <c r="S9" s="19">
        <v>2</v>
      </c>
    </row>
    <row r="10" spans="1:19" x14ac:dyDescent="0.25">
      <c r="A10" s="16"/>
      <c r="B10" s="66"/>
      <c r="C10" s="17"/>
      <c r="D10" s="19">
        <v>8</v>
      </c>
      <c r="E10" s="19">
        <v>60</v>
      </c>
      <c r="F10" s="18">
        <v>113.5804</v>
      </c>
      <c r="G10" s="19">
        <v>0.81269000000000002</v>
      </c>
      <c r="H10" s="19">
        <v>0.29755999999999999</v>
      </c>
      <c r="I10" s="19">
        <v>4.4961000000000002</v>
      </c>
      <c r="J10" s="19">
        <v>1.7035</v>
      </c>
      <c r="K10" s="19">
        <v>3496.0135</v>
      </c>
      <c r="L10" s="19">
        <v>6137.1625000000004</v>
      </c>
      <c r="M10" s="19">
        <v>5</v>
      </c>
      <c r="N10" s="19">
        <v>4</v>
      </c>
      <c r="O10" s="19">
        <v>1</v>
      </c>
      <c r="P10" s="19">
        <v>1</v>
      </c>
      <c r="Q10" s="19">
        <v>1</v>
      </c>
      <c r="R10" s="19">
        <v>5</v>
      </c>
      <c r="S10" s="19">
        <v>1</v>
      </c>
    </row>
    <row r="11" spans="1:19" x14ac:dyDescent="0.25">
      <c r="A11" s="16"/>
      <c r="B11" s="66"/>
      <c r="C11" s="17"/>
      <c r="D11" s="19">
        <v>9</v>
      </c>
      <c r="E11" s="19">
        <v>80</v>
      </c>
      <c r="F11" s="18">
        <v>112.7946</v>
      </c>
      <c r="G11" s="19">
        <v>0.81128</v>
      </c>
      <c r="H11" s="19">
        <v>0.27655000000000002</v>
      </c>
      <c r="I11" s="19">
        <v>5.0019999999999998</v>
      </c>
      <c r="J11" s="19">
        <v>1.8367</v>
      </c>
      <c r="K11" s="19">
        <v>3225.9850999999999</v>
      </c>
      <c r="L11" s="19">
        <v>5950.8779000000004</v>
      </c>
      <c r="M11" s="19">
        <v>5</v>
      </c>
      <c r="N11" s="19">
        <v>3</v>
      </c>
      <c r="O11" s="19">
        <v>2</v>
      </c>
      <c r="P11" s="19">
        <v>1</v>
      </c>
      <c r="Q11" s="19">
        <v>1</v>
      </c>
      <c r="R11" s="19">
        <v>5</v>
      </c>
      <c r="S11" s="19">
        <v>2</v>
      </c>
    </row>
    <row r="12" spans="1:19" ht="15.75" thickBot="1" x14ac:dyDescent="0.3">
      <c r="A12" s="16"/>
      <c r="B12" s="67"/>
      <c r="C12" s="17"/>
      <c r="D12" s="19">
        <v>10</v>
      </c>
      <c r="E12" s="19">
        <v>120</v>
      </c>
      <c r="F12" s="26">
        <v>146.86600000000001</v>
      </c>
      <c r="G12" s="30">
        <v>0.80401999999999996</v>
      </c>
      <c r="H12" s="30">
        <v>0.28255000000000002</v>
      </c>
      <c r="I12" s="30">
        <v>4.6939000000000002</v>
      </c>
      <c r="J12" s="30">
        <v>1.7611000000000001</v>
      </c>
      <c r="K12" s="30">
        <v>3381.4967000000001</v>
      </c>
      <c r="L12" s="30">
        <v>6100.9294</v>
      </c>
      <c r="M12" s="19">
        <v>3</v>
      </c>
      <c r="N12" s="19">
        <v>3</v>
      </c>
      <c r="O12" s="19">
        <v>2</v>
      </c>
      <c r="P12" s="19">
        <v>1</v>
      </c>
      <c r="Q12" s="19">
        <v>1</v>
      </c>
      <c r="R12" s="19">
        <v>5</v>
      </c>
      <c r="S12" s="19">
        <v>3</v>
      </c>
    </row>
    <row r="13" spans="1:19" ht="15.75" thickBot="1" x14ac:dyDescent="0.3">
      <c r="A13" s="48"/>
      <c r="B13" s="8"/>
      <c r="F13" s="58" t="s">
        <v>24</v>
      </c>
      <c r="G13" s="55">
        <f>AVERAGE(G3:G12)</f>
        <v>0.813226</v>
      </c>
      <c r="H13" s="55">
        <f t="shared" ref="H13:L13" si="0">AVERAGE(H3:H12)</f>
        <v>0.29323299999999997</v>
      </c>
      <c r="I13" s="55">
        <f t="shared" si="0"/>
        <v>4.5802899999999998</v>
      </c>
      <c r="J13" s="55">
        <f t="shared" si="0"/>
        <v>1.7225000000000001</v>
      </c>
      <c r="K13" s="55">
        <f t="shared" si="0"/>
        <v>3459.92868</v>
      </c>
      <c r="L13" s="56">
        <f t="shared" si="0"/>
        <v>6122.0340500000002</v>
      </c>
    </row>
    <row r="14" spans="1:19" ht="15" customHeight="1" x14ac:dyDescent="0.25">
      <c r="A14" s="16" t="s">
        <v>49</v>
      </c>
      <c r="B14" s="65" t="s">
        <v>37</v>
      </c>
      <c r="C14" s="17" t="s">
        <v>52</v>
      </c>
      <c r="D14" s="19">
        <v>6</v>
      </c>
      <c r="E14" s="19">
        <v>0</v>
      </c>
      <c r="F14" s="28">
        <v>123.1917</v>
      </c>
      <c r="G14" s="28">
        <v>0.87588999999999995</v>
      </c>
      <c r="H14" s="28">
        <v>0.29916999999999999</v>
      </c>
      <c r="I14" s="28">
        <v>6.5570000000000004</v>
      </c>
      <c r="J14" s="28">
        <v>2.0352999999999999</v>
      </c>
      <c r="K14" s="28">
        <v>3091.3254000000002</v>
      </c>
      <c r="L14" s="28">
        <v>4675.0662000000002</v>
      </c>
      <c r="M14" s="19">
        <v>4</v>
      </c>
      <c r="N14" s="19">
        <v>4</v>
      </c>
      <c r="O14" s="19">
        <v>4</v>
      </c>
      <c r="P14" s="19">
        <v>1</v>
      </c>
      <c r="Q14" s="19">
        <v>1</v>
      </c>
      <c r="R14" s="19">
        <v>4</v>
      </c>
      <c r="S14" s="19">
        <v>3</v>
      </c>
    </row>
    <row r="15" spans="1:19" x14ac:dyDescent="0.25">
      <c r="A15" s="16"/>
      <c r="B15" s="66"/>
      <c r="C15" s="17"/>
      <c r="D15" s="19">
        <v>1</v>
      </c>
      <c r="E15" s="19">
        <v>10</v>
      </c>
      <c r="F15" s="19">
        <v>62.003799999999998</v>
      </c>
      <c r="G15" s="19">
        <v>0.84989000000000003</v>
      </c>
      <c r="H15" s="19">
        <v>0.24596000000000001</v>
      </c>
      <c r="I15" s="19">
        <v>8.0556000000000001</v>
      </c>
      <c r="J15" s="19">
        <v>2.3222999999999998</v>
      </c>
      <c r="K15" s="19">
        <v>2592.8676999999998</v>
      </c>
      <c r="L15" s="19">
        <v>4258.1518999999998</v>
      </c>
      <c r="M15" s="19">
        <v>3</v>
      </c>
      <c r="N15" s="19">
        <v>3</v>
      </c>
      <c r="O15" s="19">
        <v>4</v>
      </c>
      <c r="P15" s="19">
        <v>3</v>
      </c>
      <c r="Q15" s="19">
        <v>2</v>
      </c>
      <c r="R15" s="19">
        <v>5</v>
      </c>
      <c r="S15" s="19">
        <v>4</v>
      </c>
    </row>
    <row r="16" spans="1:19" x14ac:dyDescent="0.25">
      <c r="A16" s="16"/>
      <c r="B16" s="66"/>
      <c r="C16" s="17"/>
      <c r="D16" s="19">
        <v>5</v>
      </c>
      <c r="E16" s="19">
        <v>20</v>
      </c>
      <c r="F16" s="19">
        <v>118.13079999999999</v>
      </c>
      <c r="G16" s="19">
        <v>0.87658999999999998</v>
      </c>
      <c r="H16" s="19">
        <v>0.30603000000000002</v>
      </c>
      <c r="I16" s="19">
        <v>6.3630000000000004</v>
      </c>
      <c r="J16" s="19">
        <v>1.9981</v>
      </c>
      <c r="K16" s="19">
        <v>3163.7939000000001</v>
      </c>
      <c r="L16" s="19">
        <v>4744.7942999999996</v>
      </c>
      <c r="M16" s="19">
        <v>4</v>
      </c>
      <c r="N16" s="19">
        <v>4</v>
      </c>
      <c r="O16" s="19">
        <v>2</v>
      </c>
      <c r="P16" s="19">
        <v>1</v>
      </c>
      <c r="Q16" s="19">
        <v>1</v>
      </c>
      <c r="R16" s="19">
        <v>4</v>
      </c>
      <c r="S16" s="19">
        <v>2</v>
      </c>
    </row>
    <row r="17" spans="1:19" x14ac:dyDescent="0.25">
      <c r="A17" s="16"/>
      <c r="B17" s="66"/>
      <c r="C17" s="17"/>
      <c r="D17" s="19">
        <v>2</v>
      </c>
      <c r="E17" s="19">
        <v>25</v>
      </c>
      <c r="F17" s="19">
        <v>115.9023</v>
      </c>
      <c r="G17" s="19">
        <v>0.86490999999999996</v>
      </c>
      <c r="H17" s="19">
        <v>0.28076000000000001</v>
      </c>
      <c r="I17" s="19">
        <v>6.9561999999999999</v>
      </c>
      <c r="J17" s="19">
        <v>2.1011000000000002</v>
      </c>
      <c r="K17" s="19">
        <v>2928.9043000000001</v>
      </c>
      <c r="L17" s="19">
        <v>4474.1405999999997</v>
      </c>
      <c r="M17" s="19">
        <v>4</v>
      </c>
      <c r="N17" s="19">
        <v>4</v>
      </c>
      <c r="O17" s="19">
        <v>2</v>
      </c>
      <c r="P17" s="19">
        <v>2</v>
      </c>
      <c r="Q17" s="19">
        <v>1</v>
      </c>
      <c r="R17" s="19">
        <v>5</v>
      </c>
      <c r="S17" s="19">
        <v>2</v>
      </c>
    </row>
    <row r="18" spans="1:19" x14ac:dyDescent="0.25">
      <c r="A18" s="16"/>
      <c r="B18" s="66"/>
      <c r="C18" s="17"/>
      <c r="D18" s="19">
        <v>4</v>
      </c>
      <c r="E18" s="19">
        <v>30</v>
      </c>
      <c r="F18" s="19">
        <v>114.5645</v>
      </c>
      <c r="G18" s="19">
        <v>0.86497999999999997</v>
      </c>
      <c r="H18" s="19">
        <v>0.26216</v>
      </c>
      <c r="I18" s="19">
        <v>7.4588000000000001</v>
      </c>
      <c r="J18" s="19">
        <v>2.2082000000000002</v>
      </c>
      <c r="K18" s="19">
        <v>2748.5835999999999</v>
      </c>
      <c r="L18" s="19">
        <v>4358.8791000000001</v>
      </c>
      <c r="M18" s="19">
        <v>4</v>
      </c>
      <c r="N18" s="19">
        <v>5</v>
      </c>
      <c r="O18" s="19">
        <v>2</v>
      </c>
      <c r="P18" s="19">
        <v>2</v>
      </c>
      <c r="Q18" s="19">
        <v>1</v>
      </c>
      <c r="R18" s="19">
        <v>4</v>
      </c>
      <c r="S18" s="19">
        <v>1</v>
      </c>
    </row>
    <row r="19" spans="1:19" x14ac:dyDescent="0.25">
      <c r="A19" s="16"/>
      <c r="B19" s="66"/>
      <c r="C19" s="17"/>
      <c r="D19" s="19">
        <v>3</v>
      </c>
      <c r="E19" s="19">
        <v>25</v>
      </c>
      <c r="F19" s="19">
        <v>116.61790000000001</v>
      </c>
      <c r="G19" s="19">
        <v>0.84669000000000005</v>
      </c>
      <c r="H19" s="19">
        <v>0.22689999999999999</v>
      </c>
      <c r="I19" s="19">
        <v>8.7734000000000005</v>
      </c>
      <c r="J19" s="19">
        <v>2.4323999999999999</v>
      </c>
      <c r="K19" s="19">
        <v>2434.3541</v>
      </c>
      <c r="L19" s="19">
        <v>4058.3271</v>
      </c>
      <c r="M19" s="19">
        <v>4</v>
      </c>
      <c r="N19" s="19">
        <v>4</v>
      </c>
      <c r="O19" s="19">
        <v>3</v>
      </c>
      <c r="P19" s="19">
        <v>1</v>
      </c>
      <c r="Q19" s="19">
        <v>1</v>
      </c>
      <c r="R19" s="19">
        <v>5</v>
      </c>
      <c r="S19" s="19">
        <v>2</v>
      </c>
    </row>
    <row r="20" spans="1:19" x14ac:dyDescent="0.25">
      <c r="A20" s="16"/>
      <c r="B20" s="66"/>
      <c r="C20" s="17"/>
      <c r="D20" s="19">
        <v>7</v>
      </c>
      <c r="E20" s="19">
        <v>40</v>
      </c>
      <c r="F20" s="19">
        <v>114.38890000000001</v>
      </c>
      <c r="G20" s="19">
        <v>0.86609000000000003</v>
      </c>
      <c r="H20" s="19">
        <v>0.25702999999999998</v>
      </c>
      <c r="I20" s="19">
        <v>7.6501000000000001</v>
      </c>
      <c r="J20" s="19">
        <v>2.2347000000000001</v>
      </c>
      <c r="K20" s="19">
        <v>2721.4672999999998</v>
      </c>
      <c r="L20" s="19">
        <v>4292.1508999999996</v>
      </c>
      <c r="M20" s="19">
        <v>5</v>
      </c>
      <c r="N20" s="19">
        <v>5</v>
      </c>
      <c r="O20" s="19">
        <v>2</v>
      </c>
      <c r="P20" s="19">
        <v>1</v>
      </c>
      <c r="Q20" s="19">
        <v>1</v>
      </c>
      <c r="R20" s="19">
        <v>4</v>
      </c>
      <c r="S20" s="19">
        <v>2</v>
      </c>
    </row>
    <row r="21" spans="1:19" x14ac:dyDescent="0.25">
      <c r="A21" s="16"/>
      <c r="B21" s="66"/>
      <c r="C21" s="17"/>
      <c r="D21" s="19">
        <v>8</v>
      </c>
      <c r="E21" s="19">
        <v>60</v>
      </c>
      <c r="F21" s="19">
        <v>109.83110000000001</v>
      </c>
      <c r="G21" s="19">
        <v>0.85685</v>
      </c>
      <c r="H21" s="19">
        <v>0.25779000000000002</v>
      </c>
      <c r="I21" s="19">
        <v>7.4496000000000002</v>
      </c>
      <c r="J21" s="19">
        <v>2.2084999999999999</v>
      </c>
      <c r="K21" s="19">
        <v>2721.1948000000002</v>
      </c>
      <c r="L21" s="19">
        <v>4328.8478999999998</v>
      </c>
      <c r="M21" s="19">
        <v>4</v>
      </c>
      <c r="N21" s="19">
        <v>4</v>
      </c>
      <c r="O21" s="19">
        <v>2</v>
      </c>
      <c r="P21" s="19">
        <v>1</v>
      </c>
      <c r="Q21" s="19">
        <v>1</v>
      </c>
      <c r="R21" s="19">
        <v>4</v>
      </c>
      <c r="S21" s="19">
        <v>2</v>
      </c>
    </row>
    <row r="22" spans="1:19" x14ac:dyDescent="0.25">
      <c r="A22" s="16"/>
      <c r="B22" s="66"/>
      <c r="C22" s="17"/>
      <c r="D22" s="19">
        <v>9</v>
      </c>
      <c r="E22" s="19">
        <v>80</v>
      </c>
      <c r="F22" s="19">
        <v>109.85129999999999</v>
      </c>
      <c r="G22" s="19">
        <v>0.85995999999999995</v>
      </c>
      <c r="H22" s="19">
        <v>0.25234000000000001</v>
      </c>
      <c r="I22" s="19">
        <v>7.6398000000000001</v>
      </c>
      <c r="J22" s="19">
        <v>2.2442000000000002</v>
      </c>
      <c r="K22" s="19">
        <v>2675.4108999999999</v>
      </c>
      <c r="L22" s="19">
        <v>4307.3701000000001</v>
      </c>
      <c r="M22" s="19">
        <v>3</v>
      </c>
      <c r="N22" s="19">
        <v>3</v>
      </c>
      <c r="O22" s="19">
        <v>3</v>
      </c>
      <c r="P22" s="19">
        <v>1</v>
      </c>
      <c r="Q22" s="19">
        <v>1</v>
      </c>
      <c r="R22" s="19">
        <v>3</v>
      </c>
      <c r="S22" s="19">
        <v>4</v>
      </c>
    </row>
    <row r="23" spans="1:19" ht="15.75" thickBot="1" x14ac:dyDescent="0.3">
      <c r="A23" s="16"/>
      <c r="B23" s="67"/>
      <c r="C23" s="17"/>
      <c r="D23" s="19">
        <v>10</v>
      </c>
      <c r="E23" s="19">
        <v>120</v>
      </c>
      <c r="F23" s="30">
        <v>101.8364</v>
      </c>
      <c r="G23" s="30">
        <v>0.86229</v>
      </c>
      <c r="H23" s="30">
        <v>0.28738000000000002</v>
      </c>
      <c r="I23" s="30">
        <v>6.6829000000000001</v>
      </c>
      <c r="J23" s="30">
        <v>2.0598999999999998</v>
      </c>
      <c r="K23" s="30">
        <v>2995.9452000000001</v>
      </c>
      <c r="L23" s="30">
        <v>4610.3503000000001</v>
      </c>
      <c r="M23" s="19">
        <v>3</v>
      </c>
      <c r="N23" s="19">
        <v>3</v>
      </c>
      <c r="O23" s="19">
        <v>4</v>
      </c>
      <c r="P23" s="19">
        <v>1</v>
      </c>
      <c r="Q23" s="19">
        <v>2</v>
      </c>
      <c r="R23" s="19">
        <v>2</v>
      </c>
      <c r="S23" s="19">
        <v>5</v>
      </c>
    </row>
    <row r="24" spans="1:19" ht="15.75" thickBot="1" x14ac:dyDescent="0.3">
      <c r="B24" s="8"/>
      <c r="F24" s="58" t="s">
        <v>24</v>
      </c>
      <c r="G24" s="55">
        <f>AVERAGE(G14:G23)</f>
        <v>0.8624139999999999</v>
      </c>
      <c r="H24" s="55">
        <f t="shared" ref="H24:L24" si="1">AVERAGE(H14:H23)</f>
        <v>0.26755200000000001</v>
      </c>
      <c r="I24" s="55">
        <f t="shared" si="1"/>
        <v>7.3586399999999994</v>
      </c>
      <c r="J24" s="55">
        <f t="shared" si="1"/>
        <v>2.1844699999999997</v>
      </c>
      <c r="K24" s="55">
        <f t="shared" si="1"/>
        <v>2807.3847200000005</v>
      </c>
      <c r="L24" s="56">
        <f t="shared" si="1"/>
        <v>4410.8078399999995</v>
      </c>
    </row>
    <row r="26" spans="1:19" ht="15.75" thickBot="1" x14ac:dyDescent="0.3"/>
    <row r="27" spans="1:19" s="71" customFormat="1" ht="29.25" thickBot="1" x14ac:dyDescent="0.5">
      <c r="A27" s="68" t="s">
        <v>59</v>
      </c>
      <c r="B27" s="69"/>
      <c r="C27" s="70" t="s">
        <v>61</v>
      </c>
      <c r="F27" s="72"/>
    </row>
  </sheetData>
  <mergeCells count="8">
    <mergeCell ref="M1:S1"/>
    <mergeCell ref="B3:B12"/>
    <mergeCell ref="B14:B23"/>
    <mergeCell ref="A3:A12"/>
    <mergeCell ref="A14:A23"/>
    <mergeCell ref="C3:C12"/>
    <mergeCell ref="C14:C23"/>
    <mergeCell ref="G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2"/>
  <sheetViews>
    <sheetView workbookViewId="0">
      <selection activeCell="A27" sqref="A27:XFD27"/>
    </sheetView>
  </sheetViews>
  <sheetFormatPr defaultRowHeight="15" x14ac:dyDescent="0.25"/>
  <cols>
    <col min="1" max="2" width="12.42578125" customWidth="1"/>
    <col min="3" max="3" width="13.85546875" customWidth="1"/>
    <col min="4" max="4" width="12.42578125" customWidth="1"/>
    <col min="6" max="6" width="21.28515625" customWidth="1"/>
    <col min="7" max="7" width="11.140625" customWidth="1"/>
    <col min="8" max="8" width="10.140625" customWidth="1"/>
    <col min="9" max="9" width="11" customWidth="1"/>
    <col min="10" max="10" width="12.7109375" customWidth="1"/>
    <col min="11" max="11" width="10.42578125" customWidth="1"/>
    <col min="12" max="12" width="11.85546875" customWidth="1"/>
  </cols>
  <sheetData>
    <row r="1" spans="1:26" ht="15.75" thickBot="1" x14ac:dyDescent="0.3">
      <c r="A1" s="8"/>
      <c r="B1" s="8"/>
      <c r="C1" s="8"/>
      <c r="D1" s="8"/>
      <c r="E1" s="8"/>
      <c r="F1" s="9"/>
      <c r="G1" s="15" t="s">
        <v>58</v>
      </c>
      <c r="H1" s="20"/>
      <c r="I1" s="20"/>
      <c r="J1" s="20"/>
      <c r="K1" s="20"/>
      <c r="L1" s="21"/>
      <c r="M1" s="12" t="s">
        <v>57</v>
      </c>
      <c r="N1" s="13"/>
      <c r="O1" s="13"/>
      <c r="P1" s="13"/>
      <c r="Q1" s="13"/>
      <c r="R1" s="13"/>
      <c r="S1" s="14"/>
    </row>
    <row r="2" spans="1:26" x14ac:dyDescent="0.25">
      <c r="A2" s="27"/>
      <c r="B2" s="10" t="s">
        <v>64</v>
      </c>
      <c r="C2" s="31" t="s">
        <v>1</v>
      </c>
      <c r="D2" s="31" t="s">
        <v>54</v>
      </c>
      <c r="E2" s="31" t="s">
        <v>55</v>
      </c>
      <c r="F2" s="32" t="s">
        <v>56</v>
      </c>
      <c r="G2" s="33" t="s">
        <v>2</v>
      </c>
      <c r="H2" s="34" t="s">
        <v>3</v>
      </c>
      <c r="I2" s="34" t="s">
        <v>4</v>
      </c>
      <c r="J2" s="34" t="s">
        <v>5</v>
      </c>
      <c r="K2" s="34" t="s">
        <v>6</v>
      </c>
      <c r="L2" s="35" t="s">
        <v>7</v>
      </c>
      <c r="M2" s="33" t="s">
        <v>16</v>
      </c>
      <c r="N2" s="34" t="s">
        <v>17</v>
      </c>
      <c r="O2" s="34" t="s">
        <v>18</v>
      </c>
      <c r="P2" s="34" t="s">
        <v>19</v>
      </c>
      <c r="Q2" s="34" t="s">
        <v>20</v>
      </c>
      <c r="R2" s="34" t="s">
        <v>21</v>
      </c>
      <c r="S2" s="35" t="s">
        <v>22</v>
      </c>
    </row>
    <row r="3" spans="1:26" ht="15" customHeight="1" x14ac:dyDescent="0.25">
      <c r="A3" s="16" t="s">
        <v>50</v>
      </c>
      <c r="B3" s="65" t="s">
        <v>40</v>
      </c>
      <c r="C3" s="17" t="s">
        <v>52</v>
      </c>
      <c r="D3" s="19">
        <v>6</v>
      </c>
      <c r="E3" s="19">
        <v>0</v>
      </c>
      <c r="F3" s="49">
        <v>146.92750000000001</v>
      </c>
      <c r="G3" s="19">
        <v>0.93615000000000004</v>
      </c>
      <c r="H3" s="19">
        <v>0.12345</v>
      </c>
      <c r="I3" s="19">
        <v>1.7770999999999999</v>
      </c>
      <c r="J3" s="19">
        <v>0.23993999999999999</v>
      </c>
      <c r="K3" s="19">
        <v>5817.3374000000003</v>
      </c>
      <c r="L3" s="19">
        <v>4116.9319999999998</v>
      </c>
      <c r="M3" s="19">
        <v>4</v>
      </c>
      <c r="N3" s="19">
        <v>4</v>
      </c>
      <c r="O3" s="19">
        <v>2</v>
      </c>
      <c r="P3" s="19">
        <v>1</v>
      </c>
      <c r="Q3" s="19">
        <v>1</v>
      </c>
      <c r="R3" s="19">
        <v>3</v>
      </c>
      <c r="S3" s="19">
        <v>5</v>
      </c>
    </row>
    <row r="4" spans="1:26" x14ac:dyDescent="0.25">
      <c r="A4" s="16"/>
      <c r="B4" s="66"/>
      <c r="C4" s="17"/>
      <c r="D4" s="19">
        <v>1</v>
      </c>
      <c r="E4" s="19">
        <v>10</v>
      </c>
      <c r="F4" s="49">
        <v>144.39619999999999</v>
      </c>
      <c r="G4" s="19">
        <v>0.97833999999999999</v>
      </c>
      <c r="H4" s="19">
        <v>0.14307</v>
      </c>
      <c r="I4" s="19">
        <v>1.9604999999999999</v>
      </c>
      <c r="J4" s="19">
        <v>0.44694</v>
      </c>
      <c r="K4" s="19">
        <v>5291.7178000000004</v>
      </c>
      <c r="L4" s="19">
        <v>4094.2138</v>
      </c>
      <c r="M4" s="19">
        <v>4</v>
      </c>
      <c r="N4" s="19">
        <v>5</v>
      </c>
      <c r="O4" s="19">
        <v>1</v>
      </c>
      <c r="P4" s="19">
        <v>1</v>
      </c>
      <c r="Q4" s="19">
        <v>1</v>
      </c>
      <c r="R4" s="19">
        <v>1</v>
      </c>
      <c r="S4" s="19">
        <v>5</v>
      </c>
    </row>
    <row r="5" spans="1:26" x14ac:dyDescent="0.25">
      <c r="A5" s="16"/>
      <c r="B5" s="66"/>
      <c r="C5" s="17"/>
      <c r="D5" s="19">
        <v>5</v>
      </c>
      <c r="E5" s="19">
        <v>20</v>
      </c>
      <c r="F5" s="49">
        <v>147.1472</v>
      </c>
      <c r="G5" s="19">
        <v>0.93201999999999996</v>
      </c>
      <c r="H5" s="19">
        <v>7.3355000000000004E-2</v>
      </c>
      <c r="I5" s="19">
        <v>1.641</v>
      </c>
      <c r="J5" s="19">
        <v>0.19847999999999999</v>
      </c>
      <c r="K5" s="19">
        <v>5669.3383000000003</v>
      </c>
      <c r="L5" s="19">
        <v>4133.0320000000002</v>
      </c>
      <c r="M5" s="19">
        <v>3</v>
      </c>
      <c r="N5" s="19">
        <v>2</v>
      </c>
      <c r="O5" s="19">
        <v>2</v>
      </c>
      <c r="P5" s="19">
        <v>1</v>
      </c>
      <c r="Q5" s="19">
        <v>1</v>
      </c>
      <c r="R5" s="19">
        <v>3</v>
      </c>
      <c r="S5" s="19">
        <v>5</v>
      </c>
      <c r="T5" s="5"/>
      <c r="U5" s="5"/>
      <c r="V5" s="5"/>
      <c r="W5" s="5"/>
      <c r="X5" s="5"/>
      <c r="Y5" s="5"/>
      <c r="Z5" s="5"/>
    </row>
    <row r="6" spans="1:26" s="6" customFormat="1" x14ac:dyDescent="0.25">
      <c r="A6" s="16"/>
      <c r="B6" s="66"/>
      <c r="C6" s="17"/>
      <c r="D6" s="49">
        <v>2</v>
      </c>
      <c r="E6" s="49">
        <v>25</v>
      </c>
      <c r="F6" s="49">
        <v>145.3511</v>
      </c>
      <c r="G6" s="49">
        <v>0.93261000000000005</v>
      </c>
      <c r="H6" s="49">
        <v>0.13308</v>
      </c>
      <c r="I6" s="49">
        <v>1.883</v>
      </c>
      <c r="J6" s="49">
        <v>0.37229000000000001</v>
      </c>
      <c r="K6" s="49">
        <v>5451.1722</v>
      </c>
      <c r="L6" s="49">
        <v>4116.0077000000001</v>
      </c>
      <c r="M6" s="49">
        <v>4</v>
      </c>
      <c r="N6" s="49">
        <v>2</v>
      </c>
      <c r="O6" s="49">
        <v>2</v>
      </c>
      <c r="P6" s="19">
        <v>1</v>
      </c>
      <c r="Q6" s="19">
        <v>1</v>
      </c>
      <c r="R6" s="49">
        <v>1</v>
      </c>
      <c r="S6" s="49">
        <v>5</v>
      </c>
      <c r="T6" s="7"/>
      <c r="U6" s="7"/>
      <c r="V6" s="7"/>
      <c r="W6" s="7"/>
      <c r="X6" s="7"/>
      <c r="Y6" s="7"/>
      <c r="Z6" s="7"/>
    </row>
    <row r="7" spans="1:26" x14ac:dyDescent="0.25">
      <c r="A7" s="16"/>
      <c r="B7" s="66"/>
      <c r="C7" s="17"/>
      <c r="D7" s="19">
        <v>4</v>
      </c>
      <c r="E7" s="19">
        <v>30</v>
      </c>
      <c r="F7" s="49">
        <v>145.19390000000001</v>
      </c>
      <c r="G7" s="19">
        <v>0.93676000000000004</v>
      </c>
      <c r="H7" s="19">
        <v>0.13250000000000001</v>
      </c>
      <c r="I7" s="19">
        <v>1.8090999999999999</v>
      </c>
      <c r="J7" s="19">
        <v>0.27709</v>
      </c>
      <c r="K7" s="19">
        <v>5705.4624000000003</v>
      </c>
      <c r="L7" s="19">
        <v>4130.1715999999997</v>
      </c>
      <c r="M7" s="19">
        <v>4</v>
      </c>
      <c r="N7" s="19">
        <v>4</v>
      </c>
      <c r="O7" s="19">
        <v>2</v>
      </c>
      <c r="P7" s="19">
        <v>1</v>
      </c>
      <c r="Q7" s="19">
        <v>2</v>
      </c>
      <c r="R7" s="19">
        <v>3</v>
      </c>
      <c r="S7" s="19">
        <v>5</v>
      </c>
      <c r="T7" s="5"/>
      <c r="U7" s="5"/>
      <c r="V7" s="5"/>
      <c r="W7" s="5"/>
      <c r="X7" s="5"/>
      <c r="Y7" s="5"/>
      <c r="Z7" s="5"/>
    </row>
    <row r="8" spans="1:26" s="6" customFormat="1" x14ac:dyDescent="0.25">
      <c r="A8" s="16"/>
      <c r="B8" s="66"/>
      <c r="C8" s="17"/>
      <c r="D8" s="49">
        <v>3</v>
      </c>
      <c r="E8" s="49">
        <v>25</v>
      </c>
      <c r="F8" s="49">
        <v>141.86429999999999</v>
      </c>
      <c r="G8" s="49">
        <v>0.93489999999999995</v>
      </c>
      <c r="H8" s="49">
        <v>0.13755000000000001</v>
      </c>
      <c r="I8" s="49">
        <v>1.9147000000000001</v>
      </c>
      <c r="J8" s="49">
        <v>0.39656999999999998</v>
      </c>
      <c r="K8" s="49">
        <v>5389.5078999999996</v>
      </c>
      <c r="L8" s="49">
        <v>4118.3433000000005</v>
      </c>
      <c r="M8" s="49">
        <v>4</v>
      </c>
      <c r="N8" s="49">
        <v>3</v>
      </c>
      <c r="O8" s="49">
        <v>2</v>
      </c>
      <c r="P8" s="19">
        <v>2</v>
      </c>
      <c r="Q8" s="19">
        <v>2</v>
      </c>
      <c r="R8" s="49">
        <v>4</v>
      </c>
      <c r="S8" s="49">
        <v>5</v>
      </c>
      <c r="T8" s="7"/>
      <c r="U8" s="7"/>
      <c r="V8" s="7"/>
      <c r="W8" s="7"/>
      <c r="X8" s="7"/>
      <c r="Y8" s="7"/>
      <c r="Z8" s="7"/>
    </row>
    <row r="9" spans="1:26" x14ac:dyDescent="0.25">
      <c r="A9" s="16"/>
      <c r="B9" s="66"/>
      <c r="C9" s="17"/>
      <c r="D9" s="19">
        <v>7</v>
      </c>
      <c r="E9" s="19">
        <v>40</v>
      </c>
      <c r="F9" s="49">
        <v>142.91149999999999</v>
      </c>
      <c r="G9" s="19">
        <v>0.93767</v>
      </c>
      <c r="H9" s="19">
        <v>0.13178999999999999</v>
      </c>
      <c r="I9" s="19">
        <v>1.9319999999999999</v>
      </c>
      <c r="J9" s="19">
        <v>0.33555000000000001</v>
      </c>
      <c r="K9" s="19">
        <v>5604.6392999999998</v>
      </c>
      <c r="L9" s="19">
        <v>4030.1873000000001</v>
      </c>
      <c r="M9" s="19">
        <v>3</v>
      </c>
      <c r="N9" s="19"/>
      <c r="O9" s="19">
        <v>3</v>
      </c>
      <c r="P9" s="19">
        <v>1</v>
      </c>
      <c r="Q9" s="19">
        <v>1</v>
      </c>
      <c r="R9" s="19">
        <v>5</v>
      </c>
      <c r="S9" s="19">
        <v>4</v>
      </c>
      <c r="T9" s="5"/>
      <c r="U9" s="5"/>
      <c r="V9" s="5"/>
      <c r="W9" s="5"/>
      <c r="X9" s="5"/>
      <c r="Y9" s="5"/>
      <c r="Z9" s="5"/>
    </row>
    <row r="10" spans="1:26" x14ac:dyDescent="0.25">
      <c r="A10" s="16"/>
      <c r="B10" s="66"/>
      <c r="C10" s="17"/>
      <c r="D10" s="19">
        <v>8</v>
      </c>
      <c r="E10" s="19">
        <v>60</v>
      </c>
      <c r="F10" s="49">
        <v>143.23949999999999</v>
      </c>
      <c r="G10" s="19">
        <v>0.93528999999999995</v>
      </c>
      <c r="H10" s="19">
        <v>0.13436999999999999</v>
      </c>
      <c r="I10" s="19">
        <v>1.8058000000000001</v>
      </c>
      <c r="J10" s="19">
        <v>0.26910000000000001</v>
      </c>
      <c r="K10" s="19">
        <v>5674.8145999999997</v>
      </c>
      <c r="L10" s="19">
        <v>4134.8921</v>
      </c>
      <c r="M10" s="19">
        <v>4</v>
      </c>
      <c r="N10" s="19">
        <v>4</v>
      </c>
      <c r="O10" s="19">
        <v>3</v>
      </c>
      <c r="P10" s="19">
        <v>1</v>
      </c>
      <c r="Q10" s="19">
        <v>1</v>
      </c>
      <c r="R10" s="19">
        <v>5</v>
      </c>
      <c r="S10" s="19">
        <v>5</v>
      </c>
    </row>
    <row r="11" spans="1:26" x14ac:dyDescent="0.25">
      <c r="A11" s="16"/>
      <c r="B11" s="66"/>
      <c r="C11" s="17"/>
      <c r="D11" s="19">
        <v>9</v>
      </c>
      <c r="E11" s="19">
        <v>80</v>
      </c>
      <c r="F11" s="49">
        <v>144.10720000000001</v>
      </c>
      <c r="G11" s="19">
        <v>0.93603999999999998</v>
      </c>
      <c r="H11" s="19">
        <v>0.13371</v>
      </c>
      <c r="I11" s="19">
        <v>1.7942</v>
      </c>
      <c r="J11" s="19">
        <v>0.24593000000000001</v>
      </c>
      <c r="K11" s="19">
        <v>5758.6301999999996</v>
      </c>
      <c r="L11" s="19">
        <v>4153.9017000000003</v>
      </c>
      <c r="M11" s="19">
        <v>5</v>
      </c>
      <c r="N11" s="19">
        <v>5</v>
      </c>
      <c r="O11" s="19">
        <v>3</v>
      </c>
      <c r="P11" s="19">
        <v>1</v>
      </c>
      <c r="Q11" s="19">
        <v>1</v>
      </c>
      <c r="R11" s="19">
        <v>4</v>
      </c>
      <c r="S11" s="19">
        <v>5</v>
      </c>
    </row>
    <row r="12" spans="1:26" ht="15.75" thickBot="1" x14ac:dyDescent="0.3">
      <c r="A12" s="16"/>
      <c r="B12" s="67"/>
      <c r="C12" s="17"/>
      <c r="D12" s="19">
        <v>10</v>
      </c>
      <c r="E12" s="19">
        <v>120</v>
      </c>
      <c r="F12" s="50">
        <v>139.3972</v>
      </c>
      <c r="G12" s="30">
        <v>0.93528</v>
      </c>
      <c r="H12" s="30">
        <v>0.13471</v>
      </c>
      <c r="I12" s="30">
        <v>1.7964</v>
      </c>
      <c r="J12" s="30">
        <v>0.29286000000000001</v>
      </c>
      <c r="K12" s="30">
        <v>5625.2096000000001</v>
      </c>
      <c r="L12" s="30">
        <v>4172.4609</v>
      </c>
      <c r="M12" s="19">
        <v>5</v>
      </c>
      <c r="N12" s="19">
        <v>5</v>
      </c>
      <c r="O12" s="19">
        <v>3</v>
      </c>
      <c r="P12" s="19">
        <v>1</v>
      </c>
      <c r="Q12" s="19">
        <v>1</v>
      </c>
      <c r="R12" s="19">
        <v>5</v>
      </c>
      <c r="S12" s="19">
        <v>5</v>
      </c>
    </row>
    <row r="13" spans="1:26" ht="15.75" thickBot="1" x14ac:dyDescent="0.3">
      <c r="A13" s="48"/>
      <c r="B13" s="8"/>
      <c r="F13" s="29" t="s">
        <v>24</v>
      </c>
      <c r="G13" s="38">
        <f>AVERAGE(G3:G12)</f>
        <v>0.93950600000000006</v>
      </c>
      <c r="H13" s="38">
        <f t="shared" ref="H13:L13" si="0">AVERAGE(H3:H12)</f>
        <v>0.12775850000000002</v>
      </c>
      <c r="I13" s="38">
        <f t="shared" si="0"/>
        <v>1.8313799999999998</v>
      </c>
      <c r="J13" s="38">
        <f t="shared" si="0"/>
        <v>0.307475</v>
      </c>
      <c r="K13" s="38">
        <f t="shared" si="0"/>
        <v>5598.7829700000002</v>
      </c>
      <c r="L13" s="39">
        <f t="shared" si="0"/>
        <v>4120.0142400000004</v>
      </c>
    </row>
    <row r="14" spans="1:26" ht="15" customHeight="1" x14ac:dyDescent="0.25">
      <c r="A14" s="16" t="s">
        <v>49</v>
      </c>
      <c r="B14" s="65" t="s">
        <v>39</v>
      </c>
      <c r="C14" s="17" t="s">
        <v>13</v>
      </c>
      <c r="D14" s="19">
        <v>6</v>
      </c>
      <c r="E14" s="19">
        <v>0</v>
      </c>
      <c r="F14" s="28">
        <v>191.13399999999999</v>
      </c>
      <c r="G14" s="28">
        <v>0.86280999999999997</v>
      </c>
      <c r="H14" s="28">
        <v>0.10576000000000001</v>
      </c>
      <c r="I14" s="28">
        <v>14.287100000000001</v>
      </c>
      <c r="J14" s="28">
        <v>2.8441000000000001</v>
      </c>
      <c r="K14" s="28">
        <v>2421.0064000000002</v>
      </c>
      <c r="L14" s="28">
        <v>2688.674</v>
      </c>
      <c r="M14" s="19">
        <v>5</v>
      </c>
      <c r="N14" s="19">
        <v>5</v>
      </c>
      <c r="O14" s="19">
        <v>2</v>
      </c>
      <c r="P14" s="19">
        <v>1</v>
      </c>
      <c r="Q14" s="19">
        <v>1</v>
      </c>
      <c r="R14" s="19">
        <v>5</v>
      </c>
      <c r="S14" s="19">
        <v>2</v>
      </c>
    </row>
    <row r="15" spans="1:26" x14ac:dyDescent="0.25">
      <c r="A15" s="16"/>
      <c r="B15" s="66"/>
      <c r="C15" s="17"/>
      <c r="D15" s="19">
        <v>1</v>
      </c>
      <c r="E15" s="19">
        <v>10</v>
      </c>
      <c r="F15" s="19">
        <v>187.2756</v>
      </c>
      <c r="G15" s="19">
        <v>0.85277000000000003</v>
      </c>
      <c r="H15" s="19">
        <v>0.11774</v>
      </c>
      <c r="I15" s="19">
        <v>13.642099999999999</v>
      </c>
      <c r="J15" s="19">
        <v>2.8054000000000001</v>
      </c>
      <c r="K15" s="19">
        <v>2685.5617999999999</v>
      </c>
      <c r="L15" s="19">
        <v>2798.3858</v>
      </c>
      <c r="M15" s="19">
        <v>4</v>
      </c>
      <c r="N15" s="19">
        <v>4</v>
      </c>
      <c r="O15" s="19">
        <v>2</v>
      </c>
      <c r="P15" s="19">
        <v>2</v>
      </c>
      <c r="Q15" s="19">
        <v>1</v>
      </c>
      <c r="R15" s="19">
        <v>5</v>
      </c>
      <c r="S15" s="19">
        <v>4</v>
      </c>
    </row>
    <row r="16" spans="1:26" x14ac:dyDescent="0.25">
      <c r="A16" s="16"/>
      <c r="B16" s="66"/>
      <c r="C16" s="17"/>
      <c r="D16" s="19">
        <v>5</v>
      </c>
      <c r="E16" s="19">
        <v>20</v>
      </c>
      <c r="F16" s="19">
        <v>185.43199999999999</v>
      </c>
      <c r="G16" s="19">
        <v>0.86416999999999999</v>
      </c>
      <c r="H16" s="19">
        <v>0.10435999999999999</v>
      </c>
      <c r="I16" s="19">
        <v>15.459</v>
      </c>
      <c r="J16" s="19">
        <v>2.9401000000000002</v>
      </c>
      <c r="K16" s="19">
        <v>2412.6354000000001</v>
      </c>
      <c r="L16" s="19">
        <v>2572.1224999999999</v>
      </c>
      <c r="M16" s="19">
        <v>5</v>
      </c>
      <c r="N16" s="19">
        <v>5</v>
      </c>
      <c r="O16" s="19">
        <v>1</v>
      </c>
      <c r="P16" s="19">
        <v>1</v>
      </c>
      <c r="Q16" s="19">
        <v>1</v>
      </c>
      <c r="R16" s="19">
        <v>5</v>
      </c>
      <c r="S16" s="19">
        <v>5</v>
      </c>
    </row>
    <row r="17" spans="1:19" x14ac:dyDescent="0.25">
      <c r="A17" s="16"/>
      <c r="B17" s="66"/>
      <c r="C17" s="17"/>
      <c r="D17" s="19">
        <v>2</v>
      </c>
      <c r="E17" s="19">
        <v>25</v>
      </c>
      <c r="F17" s="19">
        <v>177.80350000000001</v>
      </c>
      <c r="G17" s="19">
        <v>0.85757000000000005</v>
      </c>
      <c r="H17" s="19">
        <v>0.13114000000000001</v>
      </c>
      <c r="I17" s="19">
        <v>12.433999999999999</v>
      </c>
      <c r="J17" s="19">
        <v>2.6793</v>
      </c>
      <c r="K17" s="19">
        <v>2930.2229000000002</v>
      </c>
      <c r="L17" s="19">
        <v>2934.1419999999998</v>
      </c>
      <c r="M17" s="19">
        <v>5</v>
      </c>
      <c r="N17" s="19">
        <v>5</v>
      </c>
      <c r="O17" s="19">
        <v>2</v>
      </c>
      <c r="P17" s="19">
        <v>1</v>
      </c>
      <c r="Q17" s="19">
        <v>1</v>
      </c>
      <c r="R17" s="19">
        <v>2</v>
      </c>
      <c r="S17" s="19">
        <v>5</v>
      </c>
    </row>
    <row r="18" spans="1:19" x14ac:dyDescent="0.25">
      <c r="A18" s="16"/>
      <c r="B18" s="66"/>
      <c r="C18" s="17"/>
      <c r="D18" s="19">
        <v>4</v>
      </c>
      <c r="E18" s="19">
        <v>30</v>
      </c>
      <c r="F18" s="19">
        <v>190.80510000000001</v>
      </c>
      <c r="G18" s="19">
        <v>0.86075000000000002</v>
      </c>
      <c r="H18" s="19">
        <v>0.11529</v>
      </c>
      <c r="I18" s="19">
        <v>13.141999999999999</v>
      </c>
      <c r="J18" s="19">
        <v>2.6867999999999999</v>
      </c>
      <c r="K18" s="19">
        <v>2842.2941999999998</v>
      </c>
      <c r="L18" s="19">
        <v>2750.1365000000001</v>
      </c>
      <c r="M18" s="19">
        <v>4</v>
      </c>
      <c r="N18" s="19">
        <v>4</v>
      </c>
      <c r="O18" s="19">
        <v>1</v>
      </c>
      <c r="P18" s="19">
        <v>1</v>
      </c>
      <c r="Q18" s="19">
        <v>1</v>
      </c>
      <c r="R18" s="19">
        <v>5</v>
      </c>
      <c r="S18" s="19">
        <v>4</v>
      </c>
    </row>
    <row r="19" spans="1:19" x14ac:dyDescent="0.25">
      <c r="A19" s="16"/>
      <c r="B19" s="66"/>
      <c r="C19" s="17"/>
      <c r="D19" s="19">
        <v>3</v>
      </c>
      <c r="E19" s="19">
        <v>25</v>
      </c>
      <c r="F19" s="19">
        <v>64.189099999999996</v>
      </c>
      <c r="G19" s="19">
        <v>0.8679</v>
      </c>
      <c r="H19" s="19">
        <v>0.12438</v>
      </c>
      <c r="I19" s="19">
        <v>13.0421</v>
      </c>
      <c r="J19" s="19">
        <v>2.7231999999999998</v>
      </c>
      <c r="K19" s="19">
        <v>2822.8447999999999</v>
      </c>
      <c r="L19" s="19">
        <v>2798.1700999999998</v>
      </c>
      <c r="M19" s="19">
        <v>3</v>
      </c>
      <c r="N19" s="19">
        <v>4</v>
      </c>
      <c r="O19" s="19">
        <v>1</v>
      </c>
      <c r="P19" s="19">
        <v>1</v>
      </c>
      <c r="Q19" s="19">
        <v>1</v>
      </c>
      <c r="R19" s="19">
        <v>5</v>
      </c>
      <c r="S19" s="19">
        <v>4</v>
      </c>
    </row>
    <row r="20" spans="1:19" x14ac:dyDescent="0.25">
      <c r="A20" s="16"/>
      <c r="B20" s="66"/>
      <c r="C20" s="17"/>
      <c r="D20" s="19">
        <v>7</v>
      </c>
      <c r="E20" s="19">
        <v>40</v>
      </c>
      <c r="F20" s="19">
        <v>71.946799999999996</v>
      </c>
      <c r="G20" s="19">
        <v>0.85992999999999997</v>
      </c>
      <c r="H20" s="19">
        <v>0.11428000000000001</v>
      </c>
      <c r="I20" s="19">
        <v>12.4701</v>
      </c>
      <c r="J20" s="19">
        <v>2.5760999999999998</v>
      </c>
      <c r="K20" s="19">
        <v>2966.7635</v>
      </c>
      <c r="L20" s="19">
        <v>2796.7968999999998</v>
      </c>
      <c r="M20" s="19">
        <v>4</v>
      </c>
      <c r="N20" s="19">
        <v>5</v>
      </c>
      <c r="O20" s="19">
        <v>2</v>
      </c>
      <c r="P20" s="19">
        <v>1</v>
      </c>
      <c r="Q20" s="19">
        <v>1</v>
      </c>
      <c r="R20" s="19">
        <v>4</v>
      </c>
      <c r="S20" s="19">
        <v>4</v>
      </c>
    </row>
    <row r="21" spans="1:19" x14ac:dyDescent="0.25">
      <c r="A21" s="16"/>
      <c r="B21" s="66"/>
      <c r="C21" s="17"/>
      <c r="D21" s="19">
        <v>8</v>
      </c>
      <c r="E21" s="19">
        <v>60</v>
      </c>
      <c r="F21" s="19">
        <v>191.0001</v>
      </c>
      <c r="G21" s="19">
        <v>0.85104999999999997</v>
      </c>
      <c r="H21" s="19">
        <v>0.1171</v>
      </c>
      <c r="I21" s="19">
        <v>12.7356</v>
      </c>
      <c r="J21" s="19">
        <v>2.6880000000000002</v>
      </c>
      <c r="K21" s="19">
        <v>2806.2719999999999</v>
      </c>
      <c r="L21" s="19">
        <v>2843.5805</v>
      </c>
      <c r="M21" s="19">
        <v>5</v>
      </c>
      <c r="N21" s="19">
        <v>5</v>
      </c>
      <c r="O21" s="19">
        <v>1</v>
      </c>
      <c r="P21" s="19">
        <v>1</v>
      </c>
      <c r="Q21" s="19">
        <v>1</v>
      </c>
      <c r="R21" s="19">
        <v>4</v>
      </c>
      <c r="S21" s="19">
        <v>4</v>
      </c>
    </row>
    <row r="22" spans="1:19" x14ac:dyDescent="0.25">
      <c r="A22" s="16"/>
      <c r="B22" s="66"/>
      <c r="C22" s="17"/>
      <c r="D22" s="19">
        <v>9</v>
      </c>
      <c r="E22" s="19">
        <v>80</v>
      </c>
      <c r="F22" s="19">
        <v>190.351</v>
      </c>
      <c r="G22" s="19">
        <v>0.85419</v>
      </c>
      <c r="H22" s="19">
        <v>0.11741</v>
      </c>
      <c r="I22" s="19">
        <v>12.9655</v>
      </c>
      <c r="J22" s="19">
        <v>2.7094999999999998</v>
      </c>
      <c r="K22" s="19">
        <v>2850.9852000000001</v>
      </c>
      <c r="L22" s="19">
        <v>2816.4994000000002</v>
      </c>
      <c r="M22" s="19">
        <v>5</v>
      </c>
      <c r="N22" s="19">
        <v>5</v>
      </c>
      <c r="O22" s="19">
        <v>2</v>
      </c>
      <c r="P22" s="19">
        <v>1</v>
      </c>
      <c r="Q22" s="19">
        <v>1</v>
      </c>
      <c r="R22" s="19">
        <v>5</v>
      </c>
      <c r="S22" s="19">
        <v>4</v>
      </c>
    </row>
    <row r="23" spans="1:19" ht="15.75" thickBot="1" x14ac:dyDescent="0.3">
      <c r="A23" s="16"/>
      <c r="B23" s="67"/>
      <c r="C23" s="17"/>
      <c r="D23" s="19">
        <v>10</v>
      </c>
      <c r="E23" s="19">
        <v>120</v>
      </c>
      <c r="F23" s="30">
        <v>184.19749999999999</v>
      </c>
      <c r="G23" s="30">
        <v>0.85716999999999999</v>
      </c>
      <c r="H23" s="30">
        <v>0.12032</v>
      </c>
      <c r="I23" s="30">
        <v>12.859400000000001</v>
      </c>
      <c r="J23" s="30">
        <v>2.6880999999999999</v>
      </c>
      <c r="K23" s="30">
        <v>2882.2487999999998</v>
      </c>
      <c r="L23" s="30">
        <v>2823.2914999999998</v>
      </c>
      <c r="M23" s="19">
        <v>5</v>
      </c>
      <c r="N23" s="19">
        <v>5</v>
      </c>
      <c r="O23" s="19">
        <v>1</v>
      </c>
      <c r="P23" s="19">
        <v>1</v>
      </c>
      <c r="Q23" s="19">
        <v>1</v>
      </c>
      <c r="R23" s="19">
        <v>5</v>
      </c>
      <c r="S23" s="19">
        <v>5</v>
      </c>
    </row>
    <row r="24" spans="1:19" ht="15.75" thickBot="1" x14ac:dyDescent="0.3">
      <c r="B24" s="8"/>
      <c r="F24" s="29" t="s">
        <v>24</v>
      </c>
      <c r="G24" s="38">
        <f>AVERAGE(G14:G23)</f>
        <v>0.85883100000000001</v>
      </c>
      <c r="H24" s="38">
        <f t="shared" ref="H24:L24" si="1">AVERAGE(H14:H23)</f>
        <v>0.11677800000000001</v>
      </c>
      <c r="I24" s="38">
        <f t="shared" si="1"/>
        <v>13.30369</v>
      </c>
      <c r="J24" s="38">
        <f t="shared" si="1"/>
        <v>2.7340599999999995</v>
      </c>
      <c r="K24" s="38">
        <f t="shared" si="1"/>
        <v>2762.0835000000002</v>
      </c>
      <c r="L24" s="39">
        <f t="shared" si="1"/>
        <v>2782.17992</v>
      </c>
    </row>
    <row r="26" spans="1:19" ht="15.75" thickBot="1" x14ac:dyDescent="0.3"/>
    <row r="27" spans="1:19" s="71" customFormat="1" ht="29.25" thickBot="1" x14ac:dyDescent="0.5">
      <c r="A27" s="68" t="s">
        <v>59</v>
      </c>
      <c r="B27" s="69"/>
      <c r="C27" s="70" t="s">
        <v>61</v>
      </c>
      <c r="F27" s="72"/>
    </row>
    <row r="32" spans="1:19" x14ac:dyDescent="0.25">
      <c r="D32" t="s">
        <v>23</v>
      </c>
    </row>
  </sheetData>
  <mergeCells count="8">
    <mergeCell ref="M1:S1"/>
    <mergeCell ref="B3:B12"/>
    <mergeCell ref="B14:B23"/>
    <mergeCell ref="A3:A12"/>
    <mergeCell ref="A14:A23"/>
    <mergeCell ref="C3:C12"/>
    <mergeCell ref="C14:C23"/>
    <mergeCell ref="G1:L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7"/>
  <sheetViews>
    <sheetView workbookViewId="0">
      <selection activeCell="A27" sqref="A27:XFD27"/>
    </sheetView>
  </sheetViews>
  <sheetFormatPr defaultRowHeight="15" x14ac:dyDescent="0.25"/>
  <cols>
    <col min="1" max="2" width="12.42578125" customWidth="1"/>
    <col min="3" max="3" width="12.5703125" customWidth="1"/>
    <col min="4" max="4" width="11.5703125" customWidth="1"/>
    <col min="6" max="6" width="16" customWidth="1"/>
    <col min="7" max="7" width="11.140625" customWidth="1"/>
    <col min="8" max="8" width="10.140625" customWidth="1"/>
    <col min="9" max="9" width="11" customWidth="1"/>
    <col min="10" max="10" width="12.7109375" customWidth="1"/>
    <col min="11" max="11" width="10.42578125" customWidth="1"/>
    <col min="12" max="12" width="11.85546875" customWidth="1"/>
  </cols>
  <sheetData>
    <row r="1" spans="1:19" ht="15.75" thickBot="1" x14ac:dyDescent="0.3">
      <c r="A1" s="8"/>
      <c r="B1" s="8"/>
      <c r="C1" s="8"/>
      <c r="D1" s="8"/>
      <c r="E1" s="8"/>
      <c r="F1" s="9"/>
      <c r="G1" s="15" t="s">
        <v>58</v>
      </c>
      <c r="H1" s="20"/>
      <c r="I1" s="20"/>
      <c r="J1" s="20"/>
      <c r="K1" s="20"/>
      <c r="L1" s="21"/>
      <c r="M1" s="12" t="s">
        <v>57</v>
      </c>
      <c r="N1" s="13"/>
      <c r="O1" s="13"/>
      <c r="P1" s="13"/>
      <c r="Q1" s="13"/>
      <c r="R1" s="13"/>
      <c r="S1" s="14"/>
    </row>
    <row r="2" spans="1:19" x14ac:dyDescent="0.25">
      <c r="A2" s="27"/>
      <c r="B2" s="10" t="s">
        <v>64</v>
      </c>
      <c r="C2" s="31" t="s">
        <v>1</v>
      </c>
      <c r="D2" s="31" t="s">
        <v>54</v>
      </c>
      <c r="E2" s="31" t="s">
        <v>55</v>
      </c>
      <c r="F2" s="32" t="s">
        <v>56</v>
      </c>
      <c r="G2" s="33" t="s">
        <v>2</v>
      </c>
      <c r="H2" s="34" t="s">
        <v>3</v>
      </c>
      <c r="I2" s="34" t="s">
        <v>4</v>
      </c>
      <c r="J2" s="34" t="s">
        <v>5</v>
      </c>
      <c r="K2" s="34" t="s">
        <v>6</v>
      </c>
      <c r="L2" s="35" t="s">
        <v>7</v>
      </c>
      <c r="M2" s="33" t="s">
        <v>16</v>
      </c>
      <c r="N2" s="34" t="s">
        <v>17</v>
      </c>
      <c r="O2" s="34" t="s">
        <v>18</v>
      </c>
      <c r="P2" s="34" t="s">
        <v>19</v>
      </c>
      <c r="Q2" s="34" t="s">
        <v>20</v>
      </c>
      <c r="R2" s="34" t="s">
        <v>21</v>
      </c>
      <c r="S2" s="35" t="s">
        <v>22</v>
      </c>
    </row>
    <row r="3" spans="1:19" ht="15" customHeight="1" x14ac:dyDescent="0.25">
      <c r="A3" s="16" t="s">
        <v>50</v>
      </c>
      <c r="B3" s="65" t="s">
        <v>42</v>
      </c>
      <c r="C3" s="17" t="s">
        <v>14</v>
      </c>
      <c r="D3" s="19">
        <v>6</v>
      </c>
      <c r="E3" s="19">
        <v>0</v>
      </c>
      <c r="F3" s="19">
        <v>144.16829999999999</v>
      </c>
      <c r="G3" s="19">
        <v>0.94630000000000003</v>
      </c>
      <c r="H3" s="19">
        <v>0.58374000000000004</v>
      </c>
      <c r="I3" s="19">
        <v>2.3138999999999998</v>
      </c>
      <c r="J3" s="19">
        <v>0.79052999999999995</v>
      </c>
      <c r="K3" s="19">
        <v>7026.9071000000004</v>
      </c>
      <c r="L3" s="19">
        <v>6513.3953000000001</v>
      </c>
      <c r="M3" s="19">
        <v>3</v>
      </c>
      <c r="N3" s="19">
        <v>2</v>
      </c>
      <c r="O3" s="19">
        <v>2</v>
      </c>
      <c r="P3" s="19">
        <v>2</v>
      </c>
      <c r="Q3" s="19">
        <v>1</v>
      </c>
      <c r="R3" s="19">
        <v>3</v>
      </c>
      <c r="S3" s="19">
        <v>3</v>
      </c>
    </row>
    <row r="4" spans="1:19" x14ac:dyDescent="0.25">
      <c r="A4" s="16"/>
      <c r="B4" s="66"/>
      <c r="C4" s="17"/>
      <c r="D4" s="19">
        <v>1</v>
      </c>
      <c r="E4" s="19">
        <v>10</v>
      </c>
      <c r="F4" s="19">
        <v>159.11439999999999</v>
      </c>
      <c r="G4" s="19">
        <v>0.92827000000000004</v>
      </c>
      <c r="H4" s="19">
        <v>0.51348000000000005</v>
      </c>
      <c r="I4" s="19">
        <v>2.5922000000000001</v>
      </c>
      <c r="J4" s="19">
        <v>0.95460999999999996</v>
      </c>
      <c r="K4" s="19">
        <v>6533.8446999999996</v>
      </c>
      <c r="L4" s="19">
        <v>6385.9519</v>
      </c>
      <c r="M4" s="19">
        <v>4</v>
      </c>
      <c r="N4" s="19">
        <v>3</v>
      </c>
      <c r="O4" s="19">
        <v>4</v>
      </c>
      <c r="P4" s="19">
        <v>1</v>
      </c>
      <c r="Q4" s="19">
        <v>1</v>
      </c>
      <c r="R4" s="19">
        <v>3</v>
      </c>
      <c r="S4" s="19">
        <v>2</v>
      </c>
    </row>
    <row r="5" spans="1:19" x14ac:dyDescent="0.25">
      <c r="A5" s="16"/>
      <c r="B5" s="66"/>
      <c r="C5" s="17"/>
      <c r="D5" s="19">
        <v>5</v>
      </c>
      <c r="E5" s="19">
        <v>20</v>
      </c>
      <c r="F5" s="19">
        <v>100.21729999999999</v>
      </c>
      <c r="G5" s="19">
        <v>0.94681999999999999</v>
      </c>
      <c r="H5" s="19">
        <v>0.58318000000000003</v>
      </c>
      <c r="I5" s="19">
        <v>2.3165</v>
      </c>
      <c r="J5" s="19">
        <v>0.79856000000000005</v>
      </c>
      <c r="K5" s="19">
        <v>7051.4758000000002</v>
      </c>
      <c r="L5" s="19">
        <v>6550.3552</v>
      </c>
      <c r="M5" s="19">
        <v>3</v>
      </c>
      <c r="N5" s="19">
        <v>2</v>
      </c>
      <c r="O5" s="19">
        <v>2</v>
      </c>
      <c r="P5" s="19">
        <v>2</v>
      </c>
      <c r="Q5" s="19">
        <v>1</v>
      </c>
      <c r="R5" s="19">
        <v>3</v>
      </c>
      <c r="S5" s="19">
        <v>3</v>
      </c>
    </row>
    <row r="6" spans="1:19" x14ac:dyDescent="0.25">
      <c r="A6" s="16"/>
      <c r="B6" s="66"/>
      <c r="C6" s="17"/>
      <c r="D6" s="19">
        <v>2</v>
      </c>
      <c r="E6" s="19">
        <v>25</v>
      </c>
      <c r="F6" s="19">
        <v>156.58500000000001</v>
      </c>
      <c r="G6" s="19">
        <v>0.93620000000000003</v>
      </c>
      <c r="H6" s="19">
        <v>0.54739000000000004</v>
      </c>
      <c r="I6" s="19">
        <v>2.4098000000000002</v>
      </c>
      <c r="J6" s="19">
        <v>0.83345000000000002</v>
      </c>
      <c r="K6" s="19">
        <v>6854.4937</v>
      </c>
      <c r="L6" s="19">
        <v>6422.4501</v>
      </c>
      <c r="M6" s="19">
        <v>5</v>
      </c>
      <c r="N6" s="19">
        <v>3</v>
      </c>
      <c r="O6" s="19">
        <v>1</v>
      </c>
      <c r="P6" s="19">
        <v>1</v>
      </c>
      <c r="Q6" s="19">
        <v>1</v>
      </c>
      <c r="R6" s="19">
        <v>4</v>
      </c>
      <c r="S6" s="19">
        <v>2</v>
      </c>
    </row>
    <row r="7" spans="1:19" x14ac:dyDescent="0.25">
      <c r="A7" s="16"/>
      <c r="B7" s="66"/>
      <c r="C7" s="17"/>
      <c r="D7" s="19">
        <v>4</v>
      </c>
      <c r="E7" s="19">
        <v>30</v>
      </c>
      <c r="F7" s="19">
        <v>102.94889999999999</v>
      </c>
      <c r="G7" s="19">
        <v>0.94410000000000005</v>
      </c>
      <c r="H7" s="19">
        <v>0.58423999999999998</v>
      </c>
      <c r="I7" s="19">
        <v>2.2509000000000001</v>
      </c>
      <c r="J7" s="19">
        <v>0.76132999999999995</v>
      </c>
      <c r="K7" s="19">
        <v>7196.5990000000002</v>
      </c>
      <c r="L7" s="19">
        <v>6574.2830000000004</v>
      </c>
      <c r="M7" s="19">
        <v>4</v>
      </c>
      <c r="N7" s="19">
        <v>4</v>
      </c>
      <c r="O7" s="19">
        <v>2</v>
      </c>
      <c r="P7" s="19">
        <v>2</v>
      </c>
      <c r="Q7" s="19">
        <v>1</v>
      </c>
      <c r="R7" s="19">
        <v>4</v>
      </c>
      <c r="S7" s="19">
        <v>3</v>
      </c>
    </row>
    <row r="8" spans="1:19" x14ac:dyDescent="0.25">
      <c r="A8" s="16"/>
      <c r="B8" s="66"/>
      <c r="C8" s="17"/>
      <c r="D8" s="19">
        <v>3</v>
      </c>
      <c r="E8" s="19">
        <v>25</v>
      </c>
      <c r="F8" s="19">
        <v>109.764</v>
      </c>
      <c r="G8" s="19">
        <v>0.94318999999999997</v>
      </c>
      <c r="H8" s="19">
        <v>0.58581000000000005</v>
      </c>
      <c r="I8" s="19">
        <v>2.1053000000000002</v>
      </c>
      <c r="J8" s="19">
        <v>0.71780999999999995</v>
      </c>
      <c r="K8" s="19">
        <v>7359.9870000000001</v>
      </c>
      <c r="L8" s="19">
        <v>6753.6055999999999</v>
      </c>
      <c r="M8" s="19">
        <v>4</v>
      </c>
      <c r="N8" s="19">
        <v>4</v>
      </c>
      <c r="O8" s="19">
        <v>3</v>
      </c>
      <c r="P8" s="19">
        <v>2</v>
      </c>
      <c r="Q8" s="19">
        <v>1</v>
      </c>
      <c r="R8" s="19">
        <v>3</v>
      </c>
      <c r="S8" s="19">
        <v>3</v>
      </c>
    </row>
    <row r="9" spans="1:19" x14ac:dyDescent="0.25">
      <c r="A9" s="16"/>
      <c r="B9" s="66"/>
      <c r="C9" s="17"/>
      <c r="D9" s="19">
        <v>7</v>
      </c>
      <c r="E9" s="19">
        <v>40</v>
      </c>
      <c r="F9" s="19">
        <v>149.09630000000001</v>
      </c>
      <c r="G9" s="19">
        <v>0.94611999999999996</v>
      </c>
      <c r="H9" s="19">
        <v>0.58667000000000002</v>
      </c>
      <c r="I9" s="19">
        <v>2.2572000000000001</v>
      </c>
      <c r="J9" s="19">
        <v>0.78646000000000005</v>
      </c>
      <c r="K9" s="19">
        <v>7003.8262000000004</v>
      </c>
      <c r="L9" s="19">
        <v>6592.9188000000004</v>
      </c>
      <c r="M9" s="19">
        <v>5</v>
      </c>
      <c r="N9" s="19">
        <v>5</v>
      </c>
      <c r="O9" s="19"/>
      <c r="P9" s="19">
        <v>2</v>
      </c>
      <c r="Q9" s="19">
        <v>1</v>
      </c>
      <c r="R9" s="19">
        <v>5</v>
      </c>
      <c r="S9" s="19">
        <v>4</v>
      </c>
    </row>
    <row r="10" spans="1:19" x14ac:dyDescent="0.25">
      <c r="A10" s="16"/>
      <c r="B10" s="66"/>
      <c r="C10" s="17"/>
      <c r="D10" s="19">
        <v>8</v>
      </c>
      <c r="E10" s="19">
        <v>60</v>
      </c>
      <c r="F10" s="19">
        <v>160.8391</v>
      </c>
      <c r="G10" s="19">
        <v>0.94794</v>
      </c>
      <c r="H10" s="19">
        <v>0.58016000000000001</v>
      </c>
      <c r="I10" s="19">
        <v>2.3127</v>
      </c>
      <c r="J10" s="19">
        <v>0.79193000000000002</v>
      </c>
      <c r="K10" s="19">
        <v>6931.1629999999996</v>
      </c>
      <c r="L10" s="19">
        <v>6440.1256000000003</v>
      </c>
      <c r="M10" s="19">
        <v>3</v>
      </c>
      <c r="N10" s="19">
        <v>3</v>
      </c>
      <c r="O10" s="19">
        <v>1</v>
      </c>
      <c r="P10" s="19">
        <v>2</v>
      </c>
      <c r="Q10" s="19">
        <v>1</v>
      </c>
      <c r="R10" s="19">
        <v>3</v>
      </c>
      <c r="S10" s="19">
        <v>3</v>
      </c>
    </row>
    <row r="11" spans="1:19" x14ac:dyDescent="0.25">
      <c r="A11" s="16"/>
      <c r="B11" s="66"/>
      <c r="C11" s="17"/>
      <c r="D11" s="19">
        <v>9</v>
      </c>
      <c r="E11" s="19">
        <v>80</v>
      </c>
      <c r="F11" s="19">
        <v>161.82810000000001</v>
      </c>
      <c r="G11" s="19">
        <v>0.93938999999999995</v>
      </c>
      <c r="H11" s="19">
        <v>0.55667999999999995</v>
      </c>
      <c r="I11" s="19">
        <v>2.3704000000000001</v>
      </c>
      <c r="J11" s="19">
        <v>0.83067000000000002</v>
      </c>
      <c r="K11" s="19">
        <v>6838.9907000000003</v>
      </c>
      <c r="L11" s="19">
        <v>6449.5775000000003</v>
      </c>
      <c r="M11" s="19">
        <v>4</v>
      </c>
      <c r="N11" s="19">
        <v>4</v>
      </c>
      <c r="O11" s="19">
        <v>1</v>
      </c>
      <c r="P11" s="19">
        <v>2</v>
      </c>
      <c r="Q11" s="19">
        <v>1</v>
      </c>
      <c r="R11" s="19">
        <v>5</v>
      </c>
      <c r="S11" s="19">
        <v>4</v>
      </c>
    </row>
    <row r="12" spans="1:19" ht="15.75" thickBot="1" x14ac:dyDescent="0.3">
      <c r="A12" s="16"/>
      <c r="B12" s="67"/>
      <c r="C12" s="17"/>
      <c r="D12" s="19">
        <v>10</v>
      </c>
      <c r="E12" s="19">
        <v>120</v>
      </c>
      <c r="F12" s="30">
        <v>159.11439999999999</v>
      </c>
      <c r="G12" s="30">
        <v>0.94364000000000003</v>
      </c>
      <c r="H12" s="30">
        <v>0.56862000000000001</v>
      </c>
      <c r="I12" s="30">
        <v>2.3500999999999999</v>
      </c>
      <c r="J12" s="30">
        <v>0.83045999999999998</v>
      </c>
      <c r="K12" s="30">
        <v>6915.2447000000002</v>
      </c>
      <c r="L12" s="30">
        <v>6497.7428</v>
      </c>
      <c r="M12" s="19">
        <v>3</v>
      </c>
      <c r="N12" s="19">
        <v>3</v>
      </c>
      <c r="O12" s="19">
        <v>1</v>
      </c>
      <c r="P12" s="19">
        <v>2</v>
      </c>
      <c r="Q12" s="19">
        <v>1</v>
      </c>
      <c r="R12" s="19">
        <v>5</v>
      </c>
      <c r="S12" s="19">
        <v>3</v>
      </c>
    </row>
    <row r="13" spans="1:19" ht="15.75" thickBot="1" x14ac:dyDescent="0.3">
      <c r="A13" s="48"/>
      <c r="B13" s="8"/>
      <c r="F13" s="29" t="s">
        <v>24</v>
      </c>
      <c r="G13" s="38">
        <f>AVERAGE(G3:G12)</f>
        <v>0.94219699999999995</v>
      </c>
      <c r="H13" s="38">
        <f t="shared" ref="H13:L13" si="0">AVERAGE(H3:H12)</f>
        <v>0.56899700000000009</v>
      </c>
      <c r="I13" s="38">
        <f t="shared" si="0"/>
        <v>2.3279000000000001</v>
      </c>
      <c r="J13" s="38">
        <f t="shared" si="0"/>
        <v>0.809581</v>
      </c>
      <c r="K13" s="38">
        <f t="shared" si="0"/>
        <v>6971.2531900000004</v>
      </c>
      <c r="L13" s="39">
        <f t="shared" si="0"/>
        <v>6518.0405799999999</v>
      </c>
    </row>
    <row r="14" spans="1:19" ht="15" customHeight="1" x14ac:dyDescent="0.25">
      <c r="A14" s="16" t="s">
        <v>49</v>
      </c>
      <c r="B14" s="65" t="s">
        <v>41</v>
      </c>
      <c r="C14" s="17" t="s">
        <v>13</v>
      </c>
      <c r="D14" s="19">
        <v>6</v>
      </c>
      <c r="E14" s="19">
        <v>0</v>
      </c>
      <c r="F14" s="28">
        <v>166.6463</v>
      </c>
      <c r="G14" s="28">
        <v>0.82221999999999995</v>
      </c>
      <c r="H14" s="28">
        <v>8.7466000000000002E-2</v>
      </c>
      <c r="I14" s="28">
        <v>20.567699999999999</v>
      </c>
      <c r="J14" s="28">
        <v>3.4584000000000001</v>
      </c>
      <c r="K14" s="28">
        <v>2265.3678</v>
      </c>
      <c r="L14" s="28">
        <v>2372.2757999999999</v>
      </c>
      <c r="M14" s="19">
        <v>4</v>
      </c>
      <c r="N14" s="19">
        <v>4</v>
      </c>
      <c r="O14" s="19">
        <v>1</v>
      </c>
      <c r="P14" s="19">
        <v>1</v>
      </c>
      <c r="Q14" s="19">
        <v>1</v>
      </c>
      <c r="R14" s="19">
        <v>5</v>
      </c>
      <c r="S14" s="19">
        <v>5</v>
      </c>
    </row>
    <row r="15" spans="1:19" x14ac:dyDescent="0.25">
      <c r="A15" s="16"/>
      <c r="B15" s="66"/>
      <c r="C15" s="17"/>
      <c r="D15" s="19">
        <v>1</v>
      </c>
      <c r="E15" s="19">
        <v>10</v>
      </c>
      <c r="F15" s="19">
        <v>158.57560000000001</v>
      </c>
      <c r="G15" s="19">
        <v>0.82113999999999998</v>
      </c>
      <c r="H15" s="19">
        <v>8.1739999999999993E-2</v>
      </c>
      <c r="I15" s="19">
        <v>22.745899999999999</v>
      </c>
      <c r="J15" s="19">
        <v>3.6865000000000001</v>
      </c>
      <c r="K15" s="19">
        <v>2151.3602000000001</v>
      </c>
      <c r="L15" s="19">
        <v>2278.6016</v>
      </c>
      <c r="M15" s="19">
        <v>4</v>
      </c>
      <c r="N15" s="19">
        <v>4</v>
      </c>
      <c r="O15" s="19">
        <v>1</v>
      </c>
      <c r="P15" s="19">
        <v>1</v>
      </c>
      <c r="Q15" s="19">
        <v>1</v>
      </c>
      <c r="R15" s="19">
        <v>4</v>
      </c>
      <c r="S15" s="19">
        <v>5</v>
      </c>
    </row>
    <row r="16" spans="1:19" x14ac:dyDescent="0.25">
      <c r="A16" s="16"/>
      <c r="B16" s="66"/>
      <c r="C16" s="17"/>
      <c r="D16" s="19">
        <v>5</v>
      </c>
      <c r="E16" s="19">
        <v>20</v>
      </c>
      <c r="F16" s="19">
        <v>157.8347</v>
      </c>
      <c r="G16" s="19">
        <v>0.82581000000000004</v>
      </c>
      <c r="H16" s="19">
        <v>8.6620000000000003E-2</v>
      </c>
      <c r="I16" s="19">
        <v>19.863</v>
      </c>
      <c r="J16" s="19">
        <v>3.3868999999999998</v>
      </c>
      <c r="K16" s="19">
        <v>2225.8917000000001</v>
      </c>
      <c r="L16" s="19">
        <v>2353.6019999999999</v>
      </c>
      <c r="M16" s="19">
        <v>5</v>
      </c>
      <c r="N16" s="19">
        <v>5</v>
      </c>
      <c r="O16" s="19">
        <v>1</v>
      </c>
      <c r="P16" s="19">
        <v>1</v>
      </c>
      <c r="Q16" s="19">
        <v>1</v>
      </c>
      <c r="R16" s="19">
        <v>5</v>
      </c>
      <c r="S16" s="19">
        <v>5</v>
      </c>
    </row>
    <row r="17" spans="1:19" x14ac:dyDescent="0.25">
      <c r="A17" s="16"/>
      <c r="B17" s="66"/>
      <c r="C17" s="17"/>
      <c r="D17" s="19">
        <v>2</v>
      </c>
      <c r="E17" s="19">
        <v>25</v>
      </c>
      <c r="F17" s="19">
        <v>159.28039999999999</v>
      </c>
      <c r="G17" s="19">
        <v>0.81489</v>
      </c>
      <c r="H17" s="19">
        <v>8.2361000000000004E-2</v>
      </c>
      <c r="I17" s="19">
        <v>21.8459</v>
      </c>
      <c r="J17" s="19">
        <v>3.633</v>
      </c>
      <c r="K17" s="19">
        <v>2186.027</v>
      </c>
      <c r="L17" s="19">
        <v>2337.3742999999999</v>
      </c>
      <c r="M17" s="19">
        <v>4</v>
      </c>
      <c r="N17" s="19">
        <v>4</v>
      </c>
      <c r="O17" s="19">
        <v>1</v>
      </c>
      <c r="P17" s="19">
        <v>1</v>
      </c>
      <c r="Q17" s="19">
        <v>1</v>
      </c>
      <c r="R17" s="19">
        <v>4</v>
      </c>
      <c r="S17" s="19">
        <v>5</v>
      </c>
    </row>
    <row r="18" spans="1:19" x14ac:dyDescent="0.25">
      <c r="A18" s="16"/>
      <c r="B18" s="66"/>
      <c r="C18" s="17"/>
      <c r="D18" s="19">
        <v>4</v>
      </c>
      <c r="E18" s="19">
        <v>30</v>
      </c>
      <c r="F18" s="19">
        <v>156.13679999999999</v>
      </c>
      <c r="G18" s="19">
        <v>0.80993999999999999</v>
      </c>
      <c r="H18" s="19">
        <v>7.6418E-2</v>
      </c>
      <c r="I18" s="19">
        <v>22.3706</v>
      </c>
      <c r="J18" s="19">
        <v>3.6095000000000002</v>
      </c>
      <c r="K18" s="19">
        <v>2113.2716999999998</v>
      </c>
      <c r="L18" s="19">
        <v>2251.8445999999999</v>
      </c>
      <c r="M18" s="19">
        <v>5</v>
      </c>
      <c r="N18" s="19">
        <v>5</v>
      </c>
      <c r="O18" s="19">
        <v>1</v>
      </c>
      <c r="P18" s="19">
        <v>1</v>
      </c>
      <c r="Q18" s="19">
        <v>2</v>
      </c>
      <c r="R18" s="19">
        <v>3</v>
      </c>
      <c r="S18" s="19">
        <v>5</v>
      </c>
    </row>
    <row r="19" spans="1:19" x14ac:dyDescent="0.25">
      <c r="A19" s="16"/>
      <c r="B19" s="66"/>
      <c r="C19" s="17"/>
      <c r="D19" s="19">
        <v>3</v>
      </c>
      <c r="E19" s="19">
        <v>25</v>
      </c>
      <c r="F19" s="19">
        <v>154.6002</v>
      </c>
      <c r="G19" s="19">
        <v>0.81376999999999999</v>
      </c>
      <c r="H19" s="19">
        <v>7.9044000000000003E-2</v>
      </c>
      <c r="I19" s="19">
        <v>21.5763</v>
      </c>
      <c r="J19" s="19">
        <v>3.5508000000000002</v>
      </c>
      <c r="K19" s="19">
        <v>2180.6601000000001</v>
      </c>
      <c r="L19" s="19">
        <v>2279.1026999999999</v>
      </c>
      <c r="M19" s="19">
        <v>4</v>
      </c>
      <c r="N19" s="19">
        <v>4</v>
      </c>
      <c r="O19" s="19">
        <v>1</v>
      </c>
      <c r="P19" s="19">
        <v>1</v>
      </c>
      <c r="Q19" s="19">
        <v>1</v>
      </c>
      <c r="R19" s="19">
        <v>3</v>
      </c>
      <c r="S19" s="19">
        <v>5</v>
      </c>
    </row>
    <row r="20" spans="1:19" x14ac:dyDescent="0.25">
      <c r="A20" s="16"/>
      <c r="B20" s="66"/>
      <c r="C20" s="17"/>
      <c r="D20" s="19">
        <v>7</v>
      </c>
      <c r="E20" s="19">
        <v>40</v>
      </c>
      <c r="F20" s="19">
        <v>150.31190000000001</v>
      </c>
      <c r="G20" s="19">
        <v>0.82335999999999998</v>
      </c>
      <c r="H20" s="19">
        <v>8.3796999999999996E-2</v>
      </c>
      <c r="I20" s="19">
        <v>21.703299999999999</v>
      </c>
      <c r="J20" s="19">
        <v>3.5728</v>
      </c>
      <c r="K20" s="19">
        <v>2152.4198000000001</v>
      </c>
      <c r="L20" s="19">
        <v>2303.5039000000002</v>
      </c>
      <c r="M20" s="19">
        <v>5</v>
      </c>
      <c r="N20" s="19">
        <v>5</v>
      </c>
      <c r="O20" s="19">
        <v>1</v>
      </c>
      <c r="P20" s="19">
        <v>1</v>
      </c>
      <c r="Q20" s="19">
        <v>1</v>
      </c>
      <c r="R20" s="19">
        <v>4</v>
      </c>
      <c r="S20" s="19">
        <v>5</v>
      </c>
    </row>
    <row r="21" spans="1:19" x14ac:dyDescent="0.25">
      <c r="A21" s="16"/>
      <c r="B21" s="66"/>
      <c r="C21" s="17"/>
      <c r="D21" s="19">
        <v>8</v>
      </c>
      <c r="E21" s="19">
        <v>60</v>
      </c>
      <c r="F21" s="19">
        <v>151.3604</v>
      </c>
      <c r="G21" s="19">
        <v>0.81945999999999997</v>
      </c>
      <c r="H21" s="19">
        <v>8.3306000000000005E-2</v>
      </c>
      <c r="I21" s="19">
        <v>21.108499999999999</v>
      </c>
      <c r="J21" s="19">
        <v>3.5148000000000001</v>
      </c>
      <c r="K21" s="19">
        <v>2170.0554999999999</v>
      </c>
      <c r="L21" s="19">
        <v>2324.5821999999998</v>
      </c>
      <c r="M21" s="19">
        <v>4</v>
      </c>
      <c r="N21" s="19">
        <v>2</v>
      </c>
      <c r="O21" s="19">
        <v>1</v>
      </c>
      <c r="P21" s="19">
        <v>1</v>
      </c>
      <c r="Q21" s="19">
        <v>2</v>
      </c>
      <c r="R21" s="19">
        <v>4</v>
      </c>
      <c r="S21" s="19">
        <v>4</v>
      </c>
    </row>
    <row r="22" spans="1:19" x14ac:dyDescent="0.25">
      <c r="A22" s="16"/>
      <c r="B22" s="66"/>
      <c r="C22" s="17"/>
      <c r="D22" s="19">
        <v>9</v>
      </c>
      <c r="E22" s="19">
        <v>80</v>
      </c>
      <c r="F22" s="19">
        <v>137.8485</v>
      </c>
      <c r="G22" s="19">
        <v>0.81991999999999998</v>
      </c>
      <c r="H22" s="19">
        <v>8.8037000000000004E-2</v>
      </c>
      <c r="I22" s="19">
        <v>18.916399999999999</v>
      </c>
      <c r="J22" s="19">
        <v>3.3157999999999999</v>
      </c>
      <c r="K22" s="19">
        <v>2210.0176999999999</v>
      </c>
      <c r="L22" s="19">
        <v>2400.1462000000001</v>
      </c>
      <c r="M22" s="19">
        <v>4</v>
      </c>
      <c r="N22" s="19">
        <v>3</v>
      </c>
      <c r="O22" s="19">
        <v>1</v>
      </c>
      <c r="P22" s="19">
        <v>1</v>
      </c>
      <c r="Q22" s="19">
        <v>2</v>
      </c>
      <c r="R22" s="19">
        <v>5</v>
      </c>
      <c r="S22" s="19">
        <v>5</v>
      </c>
    </row>
    <row r="23" spans="1:19" ht="15.75" thickBot="1" x14ac:dyDescent="0.3">
      <c r="A23" s="16"/>
      <c r="B23" s="67"/>
      <c r="C23" s="17"/>
      <c r="D23" s="19">
        <v>10</v>
      </c>
      <c r="E23" s="19">
        <v>120</v>
      </c>
      <c r="F23" s="30">
        <v>158.57560000000001</v>
      </c>
      <c r="G23" s="30">
        <v>0.81786999999999999</v>
      </c>
      <c r="H23" s="30">
        <v>8.1546999999999994E-2</v>
      </c>
      <c r="I23" s="30">
        <v>19.8721</v>
      </c>
      <c r="J23" s="30">
        <v>3.3512</v>
      </c>
      <c r="K23" s="30">
        <v>2204.5740999999998</v>
      </c>
      <c r="L23" s="30">
        <v>2319.3615</v>
      </c>
      <c r="M23" s="19">
        <v>5</v>
      </c>
      <c r="N23" s="19">
        <v>5</v>
      </c>
      <c r="O23" s="19">
        <v>1</v>
      </c>
      <c r="P23" s="19">
        <v>1</v>
      </c>
      <c r="Q23" s="19">
        <v>1</v>
      </c>
      <c r="R23" s="19">
        <v>4</v>
      </c>
      <c r="S23" s="19">
        <v>5</v>
      </c>
    </row>
    <row r="24" spans="1:19" ht="15.75" thickBot="1" x14ac:dyDescent="0.3">
      <c r="B24" s="8"/>
      <c r="F24" s="29" t="s">
        <v>24</v>
      </c>
      <c r="G24" s="38">
        <f>AVERAGE(G14:G23)</f>
        <v>0.81883800000000007</v>
      </c>
      <c r="H24" s="38">
        <f t="shared" ref="H24:L24" si="1">AVERAGE(H14:H23)</f>
        <v>8.3033600000000013E-2</v>
      </c>
      <c r="I24" s="38">
        <f t="shared" si="1"/>
        <v>21.056969999999996</v>
      </c>
      <c r="J24" s="38">
        <f t="shared" si="1"/>
        <v>3.5079700000000003</v>
      </c>
      <c r="K24" s="38">
        <f t="shared" si="1"/>
        <v>2185.9645599999994</v>
      </c>
      <c r="L24" s="39">
        <f t="shared" si="1"/>
        <v>2322.0394799999999</v>
      </c>
    </row>
    <row r="26" spans="1:19" ht="15.75" thickBot="1" x14ac:dyDescent="0.3"/>
    <row r="27" spans="1:19" s="71" customFormat="1" ht="29.25" thickBot="1" x14ac:dyDescent="0.5">
      <c r="A27" s="68" t="s">
        <v>59</v>
      </c>
      <c r="B27" s="69"/>
      <c r="C27" s="70" t="s">
        <v>63</v>
      </c>
      <c r="F27" s="72"/>
    </row>
  </sheetData>
  <mergeCells count="8">
    <mergeCell ref="M1:S1"/>
    <mergeCell ref="B3:B12"/>
    <mergeCell ref="B14:B23"/>
    <mergeCell ref="A3:A12"/>
    <mergeCell ref="A14:A23"/>
    <mergeCell ref="C3:C12"/>
    <mergeCell ref="C14:C23"/>
    <mergeCell ref="G1:L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2"/>
  <sheetViews>
    <sheetView workbookViewId="0">
      <selection activeCell="E30" sqref="E30"/>
    </sheetView>
  </sheetViews>
  <sheetFormatPr defaultRowHeight="15" x14ac:dyDescent="0.25"/>
  <cols>
    <col min="1" max="2" width="12.42578125" customWidth="1"/>
    <col min="3" max="3" width="12.5703125" customWidth="1"/>
    <col min="4" max="4" width="11.7109375" customWidth="1"/>
    <col min="6" max="6" width="17.5703125" customWidth="1"/>
    <col min="7" max="7" width="11.140625" customWidth="1"/>
    <col min="8" max="8" width="10.140625" customWidth="1"/>
    <col min="9" max="9" width="11" customWidth="1"/>
    <col min="10" max="10" width="12.7109375" customWidth="1"/>
    <col min="11" max="11" width="10.42578125" customWidth="1"/>
    <col min="12" max="12" width="11.85546875" customWidth="1"/>
  </cols>
  <sheetData>
    <row r="1" spans="1:19" ht="15.75" thickBot="1" x14ac:dyDescent="0.3">
      <c r="A1" s="8"/>
      <c r="B1" s="8"/>
      <c r="C1" s="8"/>
      <c r="D1" s="8"/>
      <c r="E1" s="8"/>
      <c r="F1" s="9"/>
      <c r="G1" s="15" t="s">
        <v>58</v>
      </c>
      <c r="H1" s="20"/>
      <c r="I1" s="20"/>
      <c r="J1" s="20"/>
      <c r="K1" s="20"/>
      <c r="L1" s="21"/>
      <c r="M1" s="12" t="s">
        <v>57</v>
      </c>
      <c r="N1" s="13"/>
      <c r="O1" s="13"/>
      <c r="P1" s="13"/>
      <c r="Q1" s="13"/>
      <c r="R1" s="13"/>
      <c r="S1" s="14"/>
    </row>
    <row r="2" spans="1:19" x14ac:dyDescent="0.25">
      <c r="A2" s="27"/>
      <c r="B2" s="10" t="s">
        <v>64</v>
      </c>
      <c r="C2" s="31" t="s">
        <v>1</v>
      </c>
      <c r="D2" s="31" t="s">
        <v>54</v>
      </c>
      <c r="E2" s="31" t="s">
        <v>55</v>
      </c>
      <c r="F2" s="32" t="s">
        <v>56</v>
      </c>
      <c r="G2" s="33" t="s">
        <v>2</v>
      </c>
      <c r="H2" s="34" t="s">
        <v>3</v>
      </c>
      <c r="I2" s="34" t="s">
        <v>4</v>
      </c>
      <c r="J2" s="34" t="s">
        <v>5</v>
      </c>
      <c r="K2" s="34" t="s">
        <v>6</v>
      </c>
      <c r="L2" s="35" t="s">
        <v>7</v>
      </c>
      <c r="M2" s="33" t="s">
        <v>16</v>
      </c>
      <c r="N2" s="34" t="s">
        <v>17</v>
      </c>
      <c r="O2" s="34" t="s">
        <v>18</v>
      </c>
      <c r="P2" s="34" t="s">
        <v>19</v>
      </c>
      <c r="Q2" s="34" t="s">
        <v>20</v>
      </c>
      <c r="R2" s="34" t="s">
        <v>21</v>
      </c>
      <c r="S2" s="35" t="s">
        <v>22</v>
      </c>
    </row>
    <row r="3" spans="1:19" ht="15" customHeight="1" x14ac:dyDescent="0.25">
      <c r="A3" s="16" t="s">
        <v>50</v>
      </c>
      <c r="B3" s="65" t="s">
        <v>44</v>
      </c>
      <c r="C3" s="17" t="s">
        <v>52</v>
      </c>
      <c r="D3" s="19">
        <v>6</v>
      </c>
      <c r="E3" s="19">
        <v>0</v>
      </c>
      <c r="F3" s="19">
        <v>124.2667</v>
      </c>
      <c r="G3" s="19">
        <v>0.90051999999999999</v>
      </c>
      <c r="H3" s="19">
        <v>5.3350000000000002E-2</v>
      </c>
      <c r="I3" s="19">
        <v>2.5078999999999998</v>
      </c>
      <c r="J3" s="19">
        <v>0.92903999999999998</v>
      </c>
      <c r="K3" s="19">
        <v>3749.4277000000002</v>
      </c>
      <c r="L3" s="19">
        <v>3956.8546000000001</v>
      </c>
      <c r="M3" s="19">
        <v>5</v>
      </c>
      <c r="N3" s="19">
        <v>5</v>
      </c>
      <c r="O3" s="19">
        <v>1</v>
      </c>
      <c r="P3" s="19">
        <v>1</v>
      </c>
      <c r="Q3" s="19">
        <v>1</v>
      </c>
      <c r="R3" s="19">
        <v>5</v>
      </c>
      <c r="S3" s="19">
        <v>1</v>
      </c>
    </row>
    <row r="4" spans="1:19" x14ac:dyDescent="0.25">
      <c r="A4" s="16"/>
      <c r="B4" s="66"/>
      <c r="C4" s="17"/>
      <c r="D4" s="19">
        <v>1</v>
      </c>
      <c r="E4" s="19">
        <v>10</v>
      </c>
      <c r="F4" s="19">
        <v>125.7616</v>
      </c>
      <c r="G4" s="19">
        <v>0.90064999999999995</v>
      </c>
      <c r="H4" s="19">
        <v>5.3543E-2</v>
      </c>
      <c r="I4" s="19">
        <v>2.8186</v>
      </c>
      <c r="J4" s="19">
        <v>1.0452999999999999</v>
      </c>
      <c r="K4" s="19">
        <v>3573.2096999999999</v>
      </c>
      <c r="L4" s="19">
        <v>3833.3303000000001</v>
      </c>
      <c r="M4" s="19">
        <v>5</v>
      </c>
      <c r="N4" s="19">
        <v>3</v>
      </c>
      <c r="O4" s="19">
        <v>1</v>
      </c>
      <c r="P4" s="19">
        <v>1</v>
      </c>
      <c r="Q4" s="19">
        <v>1</v>
      </c>
      <c r="R4" s="19">
        <v>5</v>
      </c>
      <c r="S4" s="19">
        <v>2</v>
      </c>
    </row>
    <row r="5" spans="1:19" x14ac:dyDescent="0.25">
      <c r="A5" s="16"/>
      <c r="B5" s="66"/>
      <c r="C5" s="17"/>
      <c r="D5" s="19">
        <v>5</v>
      </c>
      <c r="E5" s="19">
        <v>20</v>
      </c>
      <c r="F5" s="19">
        <v>119.6592</v>
      </c>
      <c r="G5" s="19">
        <v>0.89066999999999996</v>
      </c>
      <c r="H5" s="19">
        <v>5.0632999999999997E-2</v>
      </c>
      <c r="I5" s="19">
        <v>3.1141000000000001</v>
      </c>
      <c r="J5" s="19">
        <v>1.1738</v>
      </c>
      <c r="K5" s="19">
        <v>3293.8850000000002</v>
      </c>
      <c r="L5" s="19">
        <v>3756.9603000000002</v>
      </c>
      <c r="M5" s="19">
        <v>5</v>
      </c>
      <c r="N5" s="19">
        <v>4</v>
      </c>
      <c r="O5" s="19">
        <v>1</v>
      </c>
      <c r="P5" s="19">
        <v>1</v>
      </c>
      <c r="Q5" s="19">
        <v>1</v>
      </c>
      <c r="R5" s="19">
        <v>5</v>
      </c>
      <c r="S5" s="19">
        <v>1</v>
      </c>
    </row>
    <row r="6" spans="1:19" x14ac:dyDescent="0.25">
      <c r="A6" s="16"/>
      <c r="B6" s="66"/>
      <c r="C6" s="17"/>
      <c r="D6" s="19">
        <v>2</v>
      </c>
      <c r="E6" s="19">
        <v>25</v>
      </c>
      <c r="F6" s="19">
        <v>120.9776</v>
      </c>
      <c r="G6" s="19">
        <v>0.89964999999999995</v>
      </c>
      <c r="H6" s="19">
        <v>5.2141E-2</v>
      </c>
      <c r="I6" s="19">
        <v>2.7783000000000002</v>
      </c>
      <c r="J6" s="19">
        <v>1.0419</v>
      </c>
      <c r="K6" s="19">
        <v>3582.3069</v>
      </c>
      <c r="L6" s="19">
        <v>3868.4335000000001</v>
      </c>
      <c r="M6" s="19">
        <v>5</v>
      </c>
      <c r="N6" s="19">
        <v>3</v>
      </c>
      <c r="O6" s="19">
        <v>1</v>
      </c>
      <c r="P6" s="19">
        <v>1</v>
      </c>
      <c r="Q6" s="19">
        <v>1</v>
      </c>
      <c r="R6" s="19">
        <v>5</v>
      </c>
      <c r="S6" s="19">
        <v>1</v>
      </c>
    </row>
    <row r="7" spans="1:19" x14ac:dyDescent="0.25">
      <c r="A7" s="16"/>
      <c r="B7" s="66"/>
      <c r="C7" s="17"/>
      <c r="D7" s="19">
        <v>4</v>
      </c>
      <c r="E7" s="19">
        <v>30</v>
      </c>
      <c r="F7" s="19">
        <v>121.2004</v>
      </c>
      <c r="G7" s="19">
        <v>0.89786999999999995</v>
      </c>
      <c r="H7" s="19">
        <v>5.3226999999999997E-2</v>
      </c>
      <c r="I7" s="19">
        <v>2.7635000000000001</v>
      </c>
      <c r="J7" s="19">
        <v>1.0355000000000001</v>
      </c>
      <c r="K7" s="19">
        <v>3566.9272000000001</v>
      </c>
      <c r="L7" s="19">
        <v>3899.739</v>
      </c>
      <c r="M7" s="19">
        <v>5</v>
      </c>
      <c r="N7" s="19">
        <v>2</v>
      </c>
      <c r="O7" s="19">
        <v>1</v>
      </c>
      <c r="P7" s="19">
        <v>1</v>
      </c>
      <c r="Q7" s="19">
        <v>1</v>
      </c>
      <c r="R7" s="19">
        <v>5</v>
      </c>
      <c r="S7" s="19">
        <v>1</v>
      </c>
    </row>
    <row r="8" spans="1:19" x14ac:dyDescent="0.25">
      <c r="A8" s="16"/>
      <c r="B8" s="66"/>
      <c r="C8" s="17"/>
      <c r="D8" s="19">
        <v>3</v>
      </c>
      <c r="E8" s="19">
        <v>25</v>
      </c>
      <c r="F8" s="19">
        <v>120.34399999999999</v>
      </c>
      <c r="G8" s="19">
        <v>0.89495999999999998</v>
      </c>
      <c r="H8" s="19">
        <v>5.7057999999999998E-2</v>
      </c>
      <c r="I8" s="19">
        <v>2.8218000000000001</v>
      </c>
      <c r="J8" s="19">
        <v>1.0629999999999999</v>
      </c>
      <c r="K8" s="19">
        <v>3507.2529</v>
      </c>
      <c r="L8" s="19">
        <v>3870.0745000000002</v>
      </c>
      <c r="M8" s="19">
        <v>5</v>
      </c>
      <c r="N8" s="19">
        <v>2</v>
      </c>
      <c r="O8" s="19">
        <v>1</v>
      </c>
      <c r="P8" s="19">
        <v>1</v>
      </c>
      <c r="Q8" s="19">
        <v>1</v>
      </c>
      <c r="R8" s="19">
        <v>5</v>
      </c>
      <c r="S8" s="19">
        <v>2</v>
      </c>
    </row>
    <row r="9" spans="1:19" x14ac:dyDescent="0.25">
      <c r="A9" s="16"/>
      <c r="B9" s="66"/>
      <c r="C9" s="17"/>
      <c r="D9" s="19">
        <v>7</v>
      </c>
      <c r="E9" s="19">
        <v>40</v>
      </c>
      <c r="F9" s="19">
        <v>118.5432</v>
      </c>
      <c r="G9" s="19">
        <v>0.89902000000000004</v>
      </c>
      <c r="H9" s="19">
        <v>5.3539999999999997E-2</v>
      </c>
      <c r="I9" s="19">
        <v>2.7355999999999998</v>
      </c>
      <c r="J9" s="19">
        <v>1.0315000000000001</v>
      </c>
      <c r="K9" s="19">
        <v>3612.8101999999999</v>
      </c>
      <c r="L9" s="19">
        <v>3935.5108</v>
      </c>
      <c r="M9" s="19">
        <v>3</v>
      </c>
      <c r="N9" s="19">
        <v>4</v>
      </c>
      <c r="O9" s="19">
        <v>1</v>
      </c>
      <c r="P9" s="19">
        <v>1</v>
      </c>
      <c r="Q9" s="19">
        <v>1</v>
      </c>
      <c r="R9" s="19">
        <v>5</v>
      </c>
      <c r="S9" s="19">
        <v>1</v>
      </c>
    </row>
    <row r="10" spans="1:19" x14ac:dyDescent="0.25">
      <c r="A10" s="16"/>
      <c r="B10" s="66"/>
      <c r="C10" s="17"/>
      <c r="D10" s="19">
        <v>8</v>
      </c>
      <c r="E10" s="19">
        <v>60</v>
      </c>
      <c r="F10" s="19">
        <v>117.9145</v>
      </c>
      <c r="G10" s="19">
        <v>0.89820999999999995</v>
      </c>
      <c r="H10" s="19">
        <v>6.5113000000000004E-2</v>
      </c>
      <c r="I10" s="19">
        <v>2.7791000000000001</v>
      </c>
      <c r="J10" s="19">
        <v>1.0471999999999999</v>
      </c>
      <c r="K10" s="19">
        <v>3560.2420999999999</v>
      </c>
      <c r="L10" s="19">
        <v>3887.1248999999998</v>
      </c>
      <c r="M10" s="19">
        <v>5</v>
      </c>
      <c r="N10" s="19">
        <v>4</v>
      </c>
      <c r="O10" s="19">
        <v>1</v>
      </c>
      <c r="P10" s="19">
        <v>1</v>
      </c>
      <c r="Q10" s="19">
        <v>1</v>
      </c>
      <c r="R10" s="19">
        <v>5</v>
      </c>
      <c r="S10" s="19">
        <v>1</v>
      </c>
    </row>
    <row r="11" spans="1:19" x14ac:dyDescent="0.25">
      <c r="A11" s="16"/>
      <c r="B11" s="66"/>
      <c r="C11" s="17"/>
      <c r="D11" s="19">
        <v>9</v>
      </c>
      <c r="E11" s="19">
        <v>80</v>
      </c>
      <c r="F11" s="19">
        <v>115.3378</v>
      </c>
      <c r="G11" s="19">
        <v>0.89912000000000003</v>
      </c>
      <c r="H11" s="19">
        <v>5.2026000000000003E-2</v>
      </c>
      <c r="I11" s="19">
        <v>2.8090999999999999</v>
      </c>
      <c r="J11" s="19">
        <v>1.0543</v>
      </c>
      <c r="K11" s="19">
        <v>3572.4353000000001</v>
      </c>
      <c r="L11" s="19">
        <v>3894.9009000000001</v>
      </c>
      <c r="M11" s="19">
        <v>5</v>
      </c>
      <c r="N11" s="19">
        <v>5</v>
      </c>
      <c r="O11" s="19">
        <v>1</v>
      </c>
      <c r="P11" s="19">
        <v>1</v>
      </c>
      <c r="Q11" s="19">
        <v>1</v>
      </c>
      <c r="R11" s="19">
        <v>5</v>
      </c>
      <c r="S11" s="19">
        <v>1</v>
      </c>
    </row>
    <row r="12" spans="1:19" ht="15.75" thickBot="1" x14ac:dyDescent="0.3">
      <c r="A12" s="16"/>
      <c r="B12" s="67"/>
      <c r="C12" s="17"/>
      <c r="D12" s="19">
        <v>10</v>
      </c>
      <c r="E12" s="19">
        <v>120</v>
      </c>
      <c r="F12" s="30">
        <v>113.1052</v>
      </c>
      <c r="G12" s="30">
        <v>0.90073999999999999</v>
      </c>
      <c r="H12" s="30">
        <v>5.6849999999999998E-2</v>
      </c>
      <c r="I12" s="30">
        <v>2.6120000000000001</v>
      </c>
      <c r="J12" s="30">
        <v>0.97445000000000004</v>
      </c>
      <c r="K12" s="30">
        <v>3677.0500999999999</v>
      </c>
      <c r="L12" s="30">
        <v>3942.0947999999999</v>
      </c>
      <c r="M12" s="19">
        <v>5</v>
      </c>
      <c r="N12" s="19">
        <v>4</v>
      </c>
      <c r="O12" s="19">
        <v>1</v>
      </c>
      <c r="P12" s="19">
        <v>1</v>
      </c>
      <c r="Q12" s="19">
        <v>1</v>
      </c>
      <c r="R12" s="19">
        <v>5</v>
      </c>
      <c r="S12" s="19">
        <v>2</v>
      </c>
    </row>
    <row r="13" spans="1:19" ht="15.75" thickBot="1" x14ac:dyDescent="0.3">
      <c r="A13" s="48"/>
      <c r="B13" s="8"/>
      <c r="F13" s="40" t="s">
        <v>24</v>
      </c>
      <c r="G13" s="40">
        <f>AVERAGE(G3:G12)</f>
        <v>0.89814100000000008</v>
      </c>
      <c r="H13" s="43">
        <f t="shared" ref="H13:L13" si="0">AVERAGE(H3:H12)</f>
        <v>5.4748099999999987E-2</v>
      </c>
      <c r="I13" s="43">
        <f t="shared" si="0"/>
        <v>2.774</v>
      </c>
      <c r="J13" s="43">
        <f t="shared" si="0"/>
        <v>1.0395989999999997</v>
      </c>
      <c r="K13" s="43">
        <f t="shared" si="0"/>
        <v>3569.5547099999994</v>
      </c>
      <c r="L13" s="44">
        <f t="shared" si="0"/>
        <v>3884.50236</v>
      </c>
    </row>
    <row r="14" spans="1:19" ht="15" customHeight="1" x14ac:dyDescent="0.25">
      <c r="A14" s="16" t="s">
        <v>49</v>
      </c>
      <c r="B14" s="65" t="s">
        <v>43</v>
      </c>
      <c r="C14" s="17" t="s">
        <v>15</v>
      </c>
      <c r="D14" s="19">
        <v>6</v>
      </c>
      <c r="E14" s="19">
        <v>0</v>
      </c>
      <c r="F14" s="28">
        <v>119.2469</v>
      </c>
      <c r="G14" s="28">
        <v>0.87273000000000001</v>
      </c>
      <c r="H14" s="28">
        <v>0.18493000000000001</v>
      </c>
      <c r="I14" s="28">
        <v>8.6235999999999997</v>
      </c>
      <c r="J14" s="28">
        <v>2.2101999999999999</v>
      </c>
      <c r="K14" s="28">
        <v>2742.5511999999999</v>
      </c>
      <c r="L14" s="28">
        <v>3474.5635000000002</v>
      </c>
      <c r="M14" s="19">
        <v>4</v>
      </c>
      <c r="N14" s="19">
        <v>4</v>
      </c>
      <c r="O14" s="19">
        <v>2</v>
      </c>
      <c r="P14" s="19">
        <v>1</v>
      </c>
      <c r="Q14" s="19">
        <v>1</v>
      </c>
      <c r="R14" s="19">
        <v>5</v>
      </c>
      <c r="S14" s="19">
        <v>5</v>
      </c>
    </row>
    <row r="15" spans="1:19" x14ac:dyDescent="0.25">
      <c r="A15" s="16"/>
      <c r="B15" s="66"/>
      <c r="C15" s="17"/>
      <c r="D15" s="19">
        <v>1</v>
      </c>
      <c r="E15" s="19">
        <v>10</v>
      </c>
      <c r="F15" s="19">
        <v>123.7037</v>
      </c>
      <c r="G15" s="19">
        <v>0.87368000000000001</v>
      </c>
      <c r="H15" s="19">
        <v>0.16572999999999999</v>
      </c>
      <c r="I15" s="19">
        <v>9.2454999999999998</v>
      </c>
      <c r="J15" s="19">
        <v>2.2431000000000001</v>
      </c>
      <c r="K15" s="19">
        <v>2707.8478</v>
      </c>
      <c r="L15" s="19">
        <v>3261.8957999999998</v>
      </c>
      <c r="M15" s="19">
        <v>4</v>
      </c>
      <c r="N15" s="19">
        <v>4</v>
      </c>
      <c r="O15" s="19">
        <v>1</v>
      </c>
      <c r="P15" s="19">
        <v>1</v>
      </c>
      <c r="Q15" s="19">
        <v>1</v>
      </c>
      <c r="R15" s="19">
        <v>5</v>
      </c>
      <c r="S15" s="19">
        <v>4</v>
      </c>
    </row>
    <row r="16" spans="1:19" x14ac:dyDescent="0.25">
      <c r="A16" s="16"/>
      <c r="B16" s="66"/>
      <c r="C16" s="17"/>
      <c r="D16" s="19">
        <v>5</v>
      </c>
      <c r="E16" s="19">
        <v>20</v>
      </c>
      <c r="F16" s="19">
        <v>119.4324</v>
      </c>
      <c r="G16" s="19">
        <v>0.86943999999999999</v>
      </c>
      <c r="H16" s="19">
        <v>0.16427</v>
      </c>
      <c r="I16" s="19">
        <v>9.1997999999999998</v>
      </c>
      <c r="J16" s="19">
        <v>2.2749999999999999</v>
      </c>
      <c r="K16" s="19">
        <v>2604.3573000000001</v>
      </c>
      <c r="L16" s="19">
        <v>3283.2298999999998</v>
      </c>
      <c r="M16" s="19">
        <v>4</v>
      </c>
      <c r="N16" s="19">
        <v>5</v>
      </c>
      <c r="O16" s="19">
        <v>2</v>
      </c>
      <c r="P16" s="19">
        <v>1</v>
      </c>
      <c r="Q16" s="19">
        <v>1</v>
      </c>
      <c r="R16" s="19">
        <v>4</v>
      </c>
      <c r="S16" s="19">
        <v>4</v>
      </c>
    </row>
    <row r="17" spans="1:19" x14ac:dyDescent="0.25">
      <c r="A17" s="16"/>
      <c r="B17" s="66"/>
      <c r="C17" s="17"/>
      <c r="D17" s="19">
        <v>2</v>
      </c>
      <c r="E17" s="19">
        <v>25</v>
      </c>
      <c r="F17" s="19">
        <v>119.5099</v>
      </c>
      <c r="G17" s="19">
        <v>0.88480999999999999</v>
      </c>
      <c r="H17" s="19">
        <v>0.17607999999999999</v>
      </c>
      <c r="I17" s="19">
        <v>8.7957000000000001</v>
      </c>
      <c r="J17" s="19">
        <v>2.1972</v>
      </c>
      <c r="K17" s="19">
        <v>2770.0893999999998</v>
      </c>
      <c r="L17" s="19">
        <v>3327.7069999999999</v>
      </c>
      <c r="M17" s="19">
        <v>4</v>
      </c>
      <c r="N17" s="19">
        <v>4</v>
      </c>
      <c r="O17" s="19">
        <v>1</v>
      </c>
      <c r="P17" s="19">
        <v>1</v>
      </c>
      <c r="Q17" s="19">
        <v>1</v>
      </c>
      <c r="R17" s="19">
        <v>4</v>
      </c>
      <c r="S17" s="19">
        <v>5</v>
      </c>
    </row>
    <row r="18" spans="1:19" x14ac:dyDescent="0.25">
      <c r="A18" s="16"/>
      <c r="B18" s="66"/>
      <c r="C18" s="17"/>
      <c r="D18" s="19">
        <v>4</v>
      </c>
      <c r="E18" s="19">
        <v>30</v>
      </c>
      <c r="F18" s="19">
        <v>120.0479</v>
      </c>
      <c r="G18" s="19">
        <v>0.86941999999999997</v>
      </c>
      <c r="H18" s="19">
        <v>0.17194999999999999</v>
      </c>
      <c r="I18" s="19">
        <v>9.2059999999999995</v>
      </c>
      <c r="J18" s="19">
        <v>2.2936000000000001</v>
      </c>
      <c r="K18" s="19">
        <v>2626.498</v>
      </c>
      <c r="L18" s="19">
        <v>3346.3472000000002</v>
      </c>
      <c r="M18" s="19">
        <v>5</v>
      </c>
      <c r="N18" s="19">
        <v>5</v>
      </c>
      <c r="O18" s="19">
        <v>1</v>
      </c>
      <c r="P18" s="19">
        <v>1</v>
      </c>
      <c r="Q18" s="19">
        <v>1</v>
      </c>
      <c r="R18" s="19">
        <v>5</v>
      </c>
      <c r="S18" s="19">
        <v>5</v>
      </c>
    </row>
    <row r="19" spans="1:19" x14ac:dyDescent="0.25">
      <c r="A19" s="16"/>
      <c r="B19" s="66"/>
      <c r="C19" s="17"/>
      <c r="D19" s="19">
        <v>3</v>
      </c>
      <c r="E19" s="19">
        <v>25</v>
      </c>
      <c r="F19" s="19">
        <v>122.7199</v>
      </c>
      <c r="G19" s="19">
        <v>0.87426999999999999</v>
      </c>
      <c r="H19" s="19">
        <v>0.18808</v>
      </c>
      <c r="I19" s="19">
        <v>8.5738000000000003</v>
      </c>
      <c r="J19" s="19">
        <v>2.2023000000000001</v>
      </c>
      <c r="K19" s="19">
        <v>2789.3265999999999</v>
      </c>
      <c r="L19" s="19">
        <v>3493.7413999999999</v>
      </c>
      <c r="M19" s="19">
        <v>5</v>
      </c>
      <c r="N19" s="19">
        <v>5</v>
      </c>
      <c r="O19" s="19">
        <v>1</v>
      </c>
      <c r="P19" s="19">
        <v>1</v>
      </c>
      <c r="Q19" s="19">
        <v>1</v>
      </c>
      <c r="R19" s="19">
        <v>5</v>
      </c>
      <c r="S19" s="19">
        <v>5</v>
      </c>
    </row>
    <row r="20" spans="1:19" x14ac:dyDescent="0.25">
      <c r="A20" s="16"/>
      <c r="B20" s="66"/>
      <c r="C20" s="17"/>
      <c r="D20" s="19">
        <v>7</v>
      </c>
      <c r="E20" s="19">
        <v>40</v>
      </c>
      <c r="F20" s="19">
        <v>118.2666</v>
      </c>
      <c r="G20" s="19">
        <v>0.87738000000000005</v>
      </c>
      <c r="H20" s="19">
        <v>0.18321999999999999</v>
      </c>
      <c r="I20" s="19">
        <v>8.1943999999999999</v>
      </c>
      <c r="J20" s="19">
        <v>2.1095000000000002</v>
      </c>
      <c r="K20" s="19">
        <v>2812.5630000000001</v>
      </c>
      <c r="L20" s="19">
        <v>3431.1866</v>
      </c>
      <c r="M20" s="19">
        <v>4</v>
      </c>
      <c r="N20" s="19">
        <v>3</v>
      </c>
      <c r="O20" s="19">
        <v>2</v>
      </c>
      <c r="P20" s="19">
        <v>1</v>
      </c>
      <c r="Q20" s="19">
        <v>1</v>
      </c>
      <c r="R20" s="19">
        <v>4</v>
      </c>
      <c r="S20" s="19">
        <v>4</v>
      </c>
    </row>
    <row r="21" spans="1:19" x14ac:dyDescent="0.25">
      <c r="A21" s="16"/>
      <c r="B21" s="66"/>
      <c r="C21" s="17"/>
      <c r="D21" s="19">
        <v>8</v>
      </c>
      <c r="E21" s="19">
        <v>60</v>
      </c>
      <c r="F21" s="19">
        <v>119.837</v>
      </c>
      <c r="G21" s="19">
        <v>0.87517</v>
      </c>
      <c r="H21" s="19">
        <v>0.18096999999999999</v>
      </c>
      <c r="I21" s="19">
        <v>8.6790000000000003</v>
      </c>
      <c r="J21" s="19">
        <v>2.1901000000000002</v>
      </c>
      <c r="K21" s="19">
        <v>2782.7703999999999</v>
      </c>
      <c r="L21" s="19">
        <v>3408.2782000000002</v>
      </c>
      <c r="M21" s="19">
        <v>5</v>
      </c>
      <c r="N21" s="19">
        <v>5</v>
      </c>
      <c r="O21" s="19">
        <v>1</v>
      </c>
      <c r="P21" s="19">
        <v>1</v>
      </c>
      <c r="Q21" s="19">
        <v>1</v>
      </c>
      <c r="R21" s="19">
        <v>5</v>
      </c>
      <c r="S21" s="19">
        <v>5</v>
      </c>
    </row>
    <row r="22" spans="1:19" x14ac:dyDescent="0.25">
      <c r="A22" s="16"/>
      <c r="B22" s="66"/>
      <c r="C22" s="17"/>
      <c r="D22" s="19">
        <v>9</v>
      </c>
      <c r="E22" s="19">
        <v>80</v>
      </c>
      <c r="F22" s="19">
        <v>115.14</v>
      </c>
      <c r="G22" s="19">
        <v>0.87829000000000002</v>
      </c>
      <c r="H22" s="19">
        <v>0.18803</v>
      </c>
      <c r="I22" s="19">
        <v>8.0615000000000006</v>
      </c>
      <c r="J22" s="19">
        <v>2.0882000000000001</v>
      </c>
      <c r="K22" s="19">
        <v>2854.3706999999999</v>
      </c>
      <c r="L22" s="19">
        <v>3472.8189000000002</v>
      </c>
      <c r="M22" s="19">
        <v>4</v>
      </c>
      <c r="N22" s="19">
        <v>4</v>
      </c>
      <c r="O22" s="19">
        <v>1</v>
      </c>
      <c r="P22" s="19">
        <v>1</v>
      </c>
      <c r="Q22" s="19">
        <v>1</v>
      </c>
      <c r="R22" s="19">
        <v>5</v>
      </c>
      <c r="S22" s="19">
        <v>5</v>
      </c>
    </row>
    <row r="23" spans="1:19" ht="15.75" thickBot="1" x14ac:dyDescent="0.3">
      <c r="A23" s="16"/>
      <c r="B23" s="67"/>
      <c r="C23" s="17"/>
      <c r="D23" s="19">
        <v>10</v>
      </c>
      <c r="E23" s="19">
        <v>120</v>
      </c>
      <c r="F23" s="30">
        <v>115.7527</v>
      </c>
      <c r="G23" s="30">
        <v>0.87587999999999999</v>
      </c>
      <c r="H23" s="30">
        <v>0.18203</v>
      </c>
      <c r="I23" s="30">
        <v>8.2753999999999994</v>
      </c>
      <c r="J23" s="30">
        <v>2.1419999999999999</v>
      </c>
      <c r="K23" s="30">
        <v>2809.9364</v>
      </c>
      <c r="L23" s="30">
        <v>3443.9681</v>
      </c>
      <c r="M23" s="19">
        <v>3</v>
      </c>
      <c r="N23" s="19">
        <v>3</v>
      </c>
      <c r="O23" s="19">
        <v>3</v>
      </c>
      <c r="P23" s="19">
        <v>1</v>
      </c>
      <c r="Q23" s="19">
        <v>1</v>
      </c>
      <c r="R23" s="19">
        <v>5</v>
      </c>
      <c r="S23" s="19">
        <v>5</v>
      </c>
    </row>
    <row r="24" spans="1:19" ht="15.75" thickBot="1" x14ac:dyDescent="0.3">
      <c r="B24" s="8"/>
      <c r="F24" s="29" t="s">
        <v>24</v>
      </c>
      <c r="G24" s="38">
        <f>AVERAGE(G14:G23)</f>
        <v>0.87510699999999986</v>
      </c>
      <c r="H24" s="38">
        <f t="shared" ref="H24:L24" si="1">AVERAGE(H14:H23)</f>
        <v>0.17852899999999999</v>
      </c>
      <c r="I24" s="38">
        <f t="shared" si="1"/>
        <v>8.6854699999999987</v>
      </c>
      <c r="J24" s="38">
        <f t="shared" si="1"/>
        <v>2.1951200000000002</v>
      </c>
      <c r="K24" s="38">
        <f t="shared" si="1"/>
        <v>2750.0310799999997</v>
      </c>
      <c r="L24" s="39">
        <f t="shared" si="1"/>
        <v>3394.3736599999997</v>
      </c>
    </row>
    <row r="26" spans="1:19" ht="15.75" thickBot="1" x14ac:dyDescent="0.3"/>
    <row r="27" spans="1:19" s="71" customFormat="1" ht="29.25" thickBot="1" x14ac:dyDescent="0.5">
      <c r="A27" s="68" t="s">
        <v>59</v>
      </c>
      <c r="B27" s="69"/>
      <c r="C27" s="70" t="s">
        <v>60</v>
      </c>
      <c r="F27" s="72"/>
    </row>
    <row r="32" spans="1:19" x14ac:dyDescent="0.25">
      <c r="D32" t="s">
        <v>23</v>
      </c>
    </row>
  </sheetData>
  <mergeCells count="8">
    <mergeCell ref="M1:S1"/>
    <mergeCell ref="B3:B12"/>
    <mergeCell ref="B14:B23"/>
    <mergeCell ref="A3:A12"/>
    <mergeCell ref="A14:A23"/>
    <mergeCell ref="C3:C12"/>
    <mergeCell ref="C14:C23"/>
    <mergeCell ref="G1:L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2"/>
  <sheetViews>
    <sheetView workbookViewId="0">
      <selection activeCell="F27" sqref="F27"/>
    </sheetView>
  </sheetViews>
  <sheetFormatPr defaultRowHeight="15" x14ac:dyDescent="0.25"/>
  <cols>
    <col min="1" max="2" width="12.42578125" customWidth="1"/>
    <col min="3" max="3" width="12.5703125" customWidth="1"/>
    <col min="4" max="4" width="11" customWidth="1"/>
    <col min="6" max="6" width="16.28515625" customWidth="1"/>
    <col min="7" max="7" width="11.140625" customWidth="1"/>
    <col min="8" max="8" width="10.140625" customWidth="1"/>
    <col min="9" max="9" width="11" customWidth="1"/>
    <col min="10" max="10" width="12.7109375" customWidth="1"/>
    <col min="11" max="11" width="10.42578125" customWidth="1"/>
    <col min="12" max="12" width="11.85546875" customWidth="1"/>
  </cols>
  <sheetData>
    <row r="1" spans="1:19" ht="15.75" thickBot="1" x14ac:dyDescent="0.3">
      <c r="A1" s="8"/>
      <c r="B1" s="8"/>
      <c r="C1" s="8"/>
      <c r="D1" s="8"/>
      <c r="E1" s="8"/>
      <c r="F1" s="9"/>
      <c r="G1" s="15" t="s">
        <v>58</v>
      </c>
      <c r="H1" s="20"/>
      <c r="I1" s="20"/>
      <c r="J1" s="20"/>
      <c r="K1" s="20"/>
      <c r="L1" s="21"/>
      <c r="M1" s="12" t="s">
        <v>57</v>
      </c>
      <c r="N1" s="13"/>
      <c r="O1" s="13"/>
      <c r="P1" s="13"/>
      <c r="Q1" s="13"/>
      <c r="R1" s="13"/>
      <c r="S1" s="14"/>
    </row>
    <row r="2" spans="1:19" x14ac:dyDescent="0.25">
      <c r="A2" s="27"/>
      <c r="B2" s="10" t="s">
        <v>64</v>
      </c>
      <c r="C2" s="31" t="s">
        <v>1</v>
      </c>
      <c r="D2" s="31" t="s">
        <v>54</v>
      </c>
      <c r="E2" s="31" t="s">
        <v>55</v>
      </c>
      <c r="F2" s="32" t="s">
        <v>56</v>
      </c>
      <c r="G2" s="33" t="s">
        <v>2</v>
      </c>
      <c r="H2" s="34" t="s">
        <v>3</v>
      </c>
      <c r="I2" s="34" t="s">
        <v>4</v>
      </c>
      <c r="J2" s="34" t="s">
        <v>5</v>
      </c>
      <c r="K2" s="34" t="s">
        <v>6</v>
      </c>
      <c r="L2" s="35" t="s">
        <v>7</v>
      </c>
      <c r="M2" s="33" t="s">
        <v>16</v>
      </c>
      <c r="N2" s="34" t="s">
        <v>17</v>
      </c>
      <c r="O2" s="34" t="s">
        <v>18</v>
      </c>
      <c r="P2" s="34" t="s">
        <v>19</v>
      </c>
      <c r="Q2" s="34" t="s">
        <v>20</v>
      </c>
      <c r="R2" s="34" t="s">
        <v>21</v>
      </c>
      <c r="S2" s="35" t="s">
        <v>22</v>
      </c>
    </row>
    <row r="3" spans="1:19" ht="15" customHeight="1" x14ac:dyDescent="0.25">
      <c r="A3" s="16" t="s">
        <v>50</v>
      </c>
      <c r="B3" s="65" t="s">
        <v>46</v>
      </c>
      <c r="C3" s="17" t="s">
        <v>13</v>
      </c>
      <c r="D3" s="19">
        <v>6</v>
      </c>
      <c r="E3" s="19">
        <v>0</v>
      </c>
      <c r="F3" s="19">
        <v>169.9804</v>
      </c>
      <c r="G3" s="19">
        <v>0.94787999999999994</v>
      </c>
      <c r="H3" s="19">
        <v>0.47499999999999998</v>
      </c>
      <c r="I3" s="19">
        <v>4.3101000000000003</v>
      </c>
      <c r="J3" s="19">
        <v>1.3218000000000001</v>
      </c>
      <c r="K3" s="19">
        <v>6289.6179000000002</v>
      </c>
      <c r="L3" s="19">
        <v>4560.9847</v>
      </c>
      <c r="M3" s="19">
        <v>5</v>
      </c>
      <c r="N3" s="19">
        <v>0</v>
      </c>
      <c r="O3" s="19">
        <v>1</v>
      </c>
      <c r="P3" s="19">
        <v>2</v>
      </c>
      <c r="Q3" s="19">
        <v>1</v>
      </c>
      <c r="R3" s="19">
        <v>5</v>
      </c>
      <c r="S3" s="19">
        <v>5</v>
      </c>
    </row>
    <row r="4" spans="1:19" x14ac:dyDescent="0.25">
      <c r="A4" s="16"/>
      <c r="B4" s="66"/>
      <c r="C4" s="17"/>
      <c r="D4" s="19">
        <v>1</v>
      </c>
      <c r="E4" s="19">
        <v>10</v>
      </c>
      <c r="F4" s="19">
        <v>170.44929999999999</v>
      </c>
      <c r="G4" s="19">
        <v>0.95120000000000005</v>
      </c>
      <c r="H4" s="19">
        <v>0.50610999999999995</v>
      </c>
      <c r="I4" s="19">
        <v>3.5834000000000001</v>
      </c>
      <c r="J4" s="19">
        <v>1.1131</v>
      </c>
      <c r="K4" s="19" t="s">
        <v>0</v>
      </c>
      <c r="L4" s="19">
        <v>4897.3064000000004</v>
      </c>
      <c r="M4" s="19">
        <v>4</v>
      </c>
      <c r="N4" s="19">
        <v>4</v>
      </c>
      <c r="O4" s="19">
        <v>1</v>
      </c>
      <c r="P4" s="19"/>
      <c r="Q4" s="19">
        <v>1</v>
      </c>
      <c r="R4" s="19">
        <v>5</v>
      </c>
      <c r="S4" s="19">
        <v>4</v>
      </c>
    </row>
    <row r="5" spans="1:19" x14ac:dyDescent="0.25">
      <c r="A5" s="16"/>
      <c r="B5" s="66"/>
      <c r="C5" s="17"/>
      <c r="D5" s="19">
        <v>5</v>
      </c>
      <c r="E5" s="19">
        <v>20</v>
      </c>
      <c r="F5" s="19">
        <v>170.8801</v>
      </c>
      <c r="G5" s="19">
        <v>0.94440999999999997</v>
      </c>
      <c r="H5" s="19">
        <v>0.45340999999999998</v>
      </c>
      <c r="I5" s="19">
        <v>4.4320000000000004</v>
      </c>
      <c r="J5" s="19">
        <v>1.3514999999999999</v>
      </c>
      <c r="K5" s="19">
        <v>6175.9299000000001</v>
      </c>
      <c r="L5" s="19">
        <v>4483.2022999999999</v>
      </c>
      <c r="M5" s="19">
        <v>4</v>
      </c>
      <c r="N5" s="19">
        <v>5</v>
      </c>
      <c r="O5" s="19">
        <v>1</v>
      </c>
      <c r="P5" s="19">
        <v>2</v>
      </c>
      <c r="Q5" s="19">
        <v>1</v>
      </c>
      <c r="R5" s="19">
        <v>5</v>
      </c>
      <c r="S5" s="19">
        <v>5</v>
      </c>
    </row>
    <row r="6" spans="1:19" x14ac:dyDescent="0.25">
      <c r="A6" s="16"/>
      <c r="B6" s="66"/>
      <c r="C6" s="17"/>
      <c r="D6" s="19">
        <v>2</v>
      </c>
      <c r="E6" s="19">
        <v>25</v>
      </c>
      <c r="F6" s="19">
        <v>160.79069999999999</v>
      </c>
      <c r="G6" s="19">
        <v>0.94740000000000002</v>
      </c>
      <c r="H6" s="19">
        <v>0.47571000000000002</v>
      </c>
      <c r="I6" s="19">
        <v>4.0296000000000003</v>
      </c>
      <c r="J6" s="19">
        <v>1.2726</v>
      </c>
      <c r="K6" s="19">
        <v>6372.7749999999996</v>
      </c>
      <c r="L6" s="19">
        <v>4728.2092000000002</v>
      </c>
      <c r="M6" s="19">
        <v>5</v>
      </c>
      <c r="N6" s="19">
        <v>5</v>
      </c>
      <c r="O6" s="19">
        <v>1</v>
      </c>
      <c r="P6" s="19">
        <v>1</v>
      </c>
      <c r="Q6" s="19">
        <v>1</v>
      </c>
      <c r="R6" s="19">
        <v>5</v>
      </c>
      <c r="S6" s="19">
        <v>5</v>
      </c>
    </row>
    <row r="7" spans="1:19" x14ac:dyDescent="0.25">
      <c r="A7" s="16"/>
      <c r="B7" s="66"/>
      <c r="C7" s="17"/>
      <c r="D7" s="19">
        <v>4</v>
      </c>
      <c r="E7" s="19">
        <v>30</v>
      </c>
      <c r="F7" s="19">
        <v>169.096</v>
      </c>
      <c r="G7" s="19">
        <v>0.94625000000000004</v>
      </c>
      <c r="H7" s="19">
        <v>0.45301999999999998</v>
      </c>
      <c r="I7" s="19">
        <v>4.7991999999999999</v>
      </c>
      <c r="J7" s="19">
        <v>1.4545999999999999</v>
      </c>
      <c r="K7" s="19">
        <v>6010.0340999999999</v>
      </c>
      <c r="L7" s="19">
        <v>4426.9665999999997</v>
      </c>
      <c r="M7" s="19">
        <v>5</v>
      </c>
      <c r="N7" s="19">
        <v>5</v>
      </c>
      <c r="O7" s="19">
        <v>1</v>
      </c>
      <c r="P7" s="19">
        <v>1</v>
      </c>
      <c r="Q7" s="19">
        <v>1</v>
      </c>
      <c r="R7" s="19">
        <v>5</v>
      </c>
      <c r="S7" s="19">
        <v>5</v>
      </c>
    </row>
    <row r="8" spans="1:19" x14ac:dyDescent="0.25">
      <c r="A8" s="16"/>
      <c r="B8" s="66"/>
      <c r="C8" s="17"/>
      <c r="D8" s="19">
        <v>3</v>
      </c>
      <c r="E8" s="19">
        <v>25</v>
      </c>
      <c r="F8" s="19">
        <v>165.25620000000001</v>
      </c>
      <c r="G8" s="19">
        <v>0.94730999999999999</v>
      </c>
      <c r="H8" s="19">
        <v>0.46428999999999998</v>
      </c>
      <c r="I8" s="19">
        <v>4.3017000000000003</v>
      </c>
      <c r="J8" s="19">
        <v>1.3041</v>
      </c>
      <c r="K8" s="19">
        <v>6319.2946000000002</v>
      </c>
      <c r="L8" s="19">
        <v>4499.7695999999996</v>
      </c>
      <c r="M8" s="19">
        <v>5</v>
      </c>
      <c r="N8" s="19">
        <v>4</v>
      </c>
      <c r="O8" s="19">
        <v>1</v>
      </c>
      <c r="P8" s="19">
        <v>2</v>
      </c>
      <c r="Q8" s="19">
        <v>1</v>
      </c>
      <c r="R8" s="19">
        <v>5</v>
      </c>
      <c r="S8" s="19">
        <v>5</v>
      </c>
    </row>
    <row r="9" spans="1:19" x14ac:dyDescent="0.25">
      <c r="A9" s="16"/>
      <c r="B9" s="66"/>
      <c r="C9" s="17"/>
      <c r="D9" s="19">
        <v>7</v>
      </c>
      <c r="E9" s="19">
        <v>40</v>
      </c>
      <c r="F9" s="19">
        <v>163.1258</v>
      </c>
      <c r="G9" s="19">
        <v>0.94611999999999996</v>
      </c>
      <c r="H9" s="19">
        <v>0.45484000000000002</v>
      </c>
      <c r="I9" s="19">
        <v>4.7069999999999999</v>
      </c>
      <c r="J9" s="19">
        <v>1.4168000000000001</v>
      </c>
      <c r="K9" s="19">
        <v>6107.9039000000002</v>
      </c>
      <c r="L9" s="19">
        <v>4438.8499000000002</v>
      </c>
      <c r="M9" s="19">
        <v>5</v>
      </c>
      <c r="N9" s="19">
        <v>5</v>
      </c>
      <c r="O9" s="19">
        <v>1</v>
      </c>
      <c r="P9" s="19">
        <v>1</v>
      </c>
      <c r="Q9" s="19">
        <v>1</v>
      </c>
      <c r="R9" s="19"/>
      <c r="S9" s="19">
        <v>5</v>
      </c>
    </row>
    <row r="10" spans="1:19" x14ac:dyDescent="0.25">
      <c r="A10" s="16"/>
      <c r="B10" s="66"/>
      <c r="C10" s="17"/>
      <c r="D10" s="19">
        <v>8</v>
      </c>
      <c r="E10" s="19">
        <v>60</v>
      </c>
      <c r="F10" s="19">
        <v>163.357</v>
      </c>
      <c r="G10" s="19">
        <v>0.94745999999999997</v>
      </c>
      <c r="H10" s="19">
        <v>0.46939999999999998</v>
      </c>
      <c r="I10" s="19">
        <v>4.2167000000000003</v>
      </c>
      <c r="J10" s="19">
        <v>1.3002</v>
      </c>
      <c r="K10" s="19">
        <v>6457.8612000000003</v>
      </c>
      <c r="L10" s="19">
        <v>4588.8779999999997</v>
      </c>
      <c r="M10" s="19">
        <v>5</v>
      </c>
      <c r="N10" s="19">
        <v>4</v>
      </c>
      <c r="O10" s="19">
        <v>1</v>
      </c>
      <c r="P10" s="19">
        <v>1</v>
      </c>
      <c r="Q10" s="19">
        <v>1</v>
      </c>
      <c r="R10" s="19">
        <v>5</v>
      </c>
      <c r="S10" s="19">
        <v>5</v>
      </c>
    </row>
    <row r="11" spans="1:19" x14ac:dyDescent="0.25">
      <c r="A11" s="16"/>
      <c r="B11" s="66"/>
      <c r="C11" s="17"/>
      <c r="D11" s="19">
        <v>9</v>
      </c>
      <c r="E11" s="19">
        <v>80</v>
      </c>
      <c r="F11" s="19">
        <v>162.4015</v>
      </c>
      <c r="G11" s="19">
        <v>0.94699999999999995</v>
      </c>
      <c r="H11" s="19">
        <v>0.47260000000000002</v>
      </c>
      <c r="I11" s="19">
        <v>4.3863000000000003</v>
      </c>
      <c r="J11" s="19">
        <v>1.3469</v>
      </c>
      <c r="K11" s="19">
        <v>6232.4575999999997</v>
      </c>
      <c r="L11" s="19">
        <v>4564.0898999999999</v>
      </c>
      <c r="M11" s="19">
        <v>4</v>
      </c>
      <c r="N11" s="19">
        <v>4</v>
      </c>
      <c r="O11" s="19">
        <v>1</v>
      </c>
      <c r="P11" s="19">
        <v>1</v>
      </c>
      <c r="Q11" s="19">
        <v>1</v>
      </c>
      <c r="R11" s="19">
        <v>5</v>
      </c>
      <c r="S11" s="19">
        <v>5</v>
      </c>
    </row>
    <row r="12" spans="1:19" ht="15.75" thickBot="1" x14ac:dyDescent="0.3">
      <c r="A12" s="16"/>
      <c r="B12" s="67"/>
      <c r="C12" s="17"/>
      <c r="D12" s="19">
        <v>10</v>
      </c>
      <c r="E12" s="19">
        <v>120</v>
      </c>
      <c r="F12" s="30">
        <v>148.6808</v>
      </c>
      <c r="G12" s="30">
        <v>0.94313999999999998</v>
      </c>
      <c r="H12" s="30">
        <v>0.44539000000000001</v>
      </c>
      <c r="I12" s="30">
        <v>4.3613999999999997</v>
      </c>
      <c r="J12" s="30">
        <v>1.3255999999999999</v>
      </c>
      <c r="K12" s="30">
        <v>6281.4336000000003</v>
      </c>
      <c r="L12" s="30">
        <v>4471.7362000000003</v>
      </c>
      <c r="M12" s="19">
        <v>4</v>
      </c>
      <c r="N12" s="19">
        <v>4</v>
      </c>
      <c r="O12" s="19">
        <v>1</v>
      </c>
      <c r="P12" s="19">
        <v>2</v>
      </c>
      <c r="Q12" s="19">
        <v>1</v>
      </c>
      <c r="R12" s="19">
        <v>5</v>
      </c>
      <c r="S12" s="19">
        <v>5</v>
      </c>
    </row>
    <row r="13" spans="1:19" ht="15.75" thickBot="1" x14ac:dyDescent="0.3">
      <c r="A13" s="48"/>
      <c r="B13" s="8"/>
      <c r="D13" s="9"/>
      <c r="F13" s="40" t="s">
        <v>24</v>
      </c>
      <c r="G13" s="40">
        <f>AVERAGE(G3:G12)</f>
        <v>0.94681699999999991</v>
      </c>
      <c r="H13" s="43">
        <f t="shared" ref="H13:L13" si="0">AVERAGE(H3:H12)</f>
        <v>0.46697699999999998</v>
      </c>
      <c r="I13" s="43">
        <f t="shared" si="0"/>
        <v>4.3127399999999998</v>
      </c>
      <c r="J13" s="43">
        <f t="shared" si="0"/>
        <v>1.3207199999999999</v>
      </c>
      <c r="K13" s="43">
        <f t="shared" si="0"/>
        <v>6249.7008666666679</v>
      </c>
      <c r="L13" s="44">
        <f t="shared" si="0"/>
        <v>4565.99928</v>
      </c>
    </row>
    <row r="14" spans="1:19" ht="15" customHeight="1" x14ac:dyDescent="0.25">
      <c r="A14" s="16" t="s">
        <v>49</v>
      </c>
      <c r="B14" s="65" t="s">
        <v>45</v>
      </c>
      <c r="C14" s="17" t="s">
        <v>48</v>
      </c>
      <c r="D14" s="19">
        <v>6</v>
      </c>
      <c r="E14" s="19">
        <v>0</v>
      </c>
      <c r="F14" s="28">
        <v>171.01679999999999</v>
      </c>
      <c r="G14" s="28">
        <v>0.88358000000000003</v>
      </c>
      <c r="H14" s="28">
        <v>0.30926999999999999</v>
      </c>
      <c r="I14" s="28">
        <v>5.7232000000000003</v>
      </c>
      <c r="J14" s="28">
        <v>1.8411999999999999</v>
      </c>
      <c r="K14" s="28">
        <v>3344.8346999999999</v>
      </c>
      <c r="L14" s="28">
        <v>4664.7671</v>
      </c>
      <c r="M14" s="19">
        <v>5</v>
      </c>
      <c r="N14" s="19">
        <v>4</v>
      </c>
      <c r="O14" s="19">
        <v>1</v>
      </c>
      <c r="P14" s="19">
        <v>1</v>
      </c>
      <c r="Q14" s="19">
        <v>1</v>
      </c>
      <c r="R14" s="19">
        <v>3</v>
      </c>
      <c r="S14" s="19">
        <v>1</v>
      </c>
    </row>
    <row r="15" spans="1:19" x14ac:dyDescent="0.25">
      <c r="A15" s="16"/>
      <c r="B15" s="66"/>
      <c r="C15" s="17"/>
      <c r="D15" s="19">
        <v>1</v>
      </c>
      <c r="E15" s="19">
        <v>10</v>
      </c>
      <c r="F15" s="19">
        <v>171.24770000000001</v>
      </c>
      <c r="G15" s="19">
        <v>0.87900999999999996</v>
      </c>
      <c r="H15" s="19">
        <v>0.27715000000000001</v>
      </c>
      <c r="I15" s="19">
        <v>6.7858999999999998</v>
      </c>
      <c r="J15" s="19">
        <v>2.0804999999999998</v>
      </c>
      <c r="K15" s="19">
        <v>3010.9850000000001</v>
      </c>
      <c r="L15" s="19">
        <v>4408.2118</v>
      </c>
      <c r="M15" s="19">
        <v>5</v>
      </c>
      <c r="N15" s="19">
        <v>3</v>
      </c>
      <c r="O15" s="19">
        <v>1</v>
      </c>
      <c r="P15" s="19">
        <v>1</v>
      </c>
      <c r="Q15" s="19">
        <v>1</v>
      </c>
      <c r="R15" s="19">
        <v>5</v>
      </c>
      <c r="S15" s="19">
        <v>1</v>
      </c>
    </row>
    <row r="16" spans="1:19" x14ac:dyDescent="0.25">
      <c r="A16" s="16"/>
      <c r="B16" s="66"/>
      <c r="C16" s="17"/>
      <c r="D16" s="19">
        <v>5</v>
      </c>
      <c r="E16" s="19">
        <v>20</v>
      </c>
      <c r="F16" s="19">
        <v>168.16820000000001</v>
      </c>
      <c r="G16" s="19">
        <v>0.87207999999999997</v>
      </c>
      <c r="H16" s="19">
        <v>0.28855999999999998</v>
      </c>
      <c r="I16" s="19">
        <v>6.1215999999999999</v>
      </c>
      <c r="J16" s="19">
        <v>1.9550000000000001</v>
      </c>
      <c r="K16" s="19">
        <v>3121.3490999999999</v>
      </c>
      <c r="L16" s="19">
        <v>4629.2013999999999</v>
      </c>
      <c r="M16" s="19">
        <v>5</v>
      </c>
      <c r="N16" s="19">
        <v>3</v>
      </c>
      <c r="O16" s="19">
        <v>1</v>
      </c>
      <c r="P16" s="19">
        <v>1</v>
      </c>
      <c r="Q16" s="19">
        <v>1</v>
      </c>
      <c r="R16" s="19">
        <v>3</v>
      </c>
      <c r="S16" s="19">
        <v>1</v>
      </c>
    </row>
    <row r="17" spans="1:19" x14ac:dyDescent="0.25">
      <c r="A17" s="16"/>
      <c r="B17" s="66"/>
      <c r="C17" s="17"/>
      <c r="D17" s="19">
        <v>2</v>
      </c>
      <c r="E17" s="19">
        <v>25</v>
      </c>
      <c r="F17" s="19">
        <v>160.3835</v>
      </c>
      <c r="G17" s="19">
        <v>0.88949</v>
      </c>
      <c r="H17" s="19">
        <v>0.31387999999999999</v>
      </c>
      <c r="I17" s="19">
        <v>5.5452000000000004</v>
      </c>
      <c r="J17" s="19">
        <v>1.8069999999999999</v>
      </c>
      <c r="K17" s="19">
        <v>3459.0140000000001</v>
      </c>
      <c r="L17" s="19">
        <v>4675.0998</v>
      </c>
      <c r="M17" s="19">
        <v>5</v>
      </c>
      <c r="N17" s="19">
        <v>3</v>
      </c>
      <c r="O17" s="19">
        <v>1</v>
      </c>
      <c r="P17" s="19">
        <v>1</v>
      </c>
      <c r="Q17" s="19">
        <v>1</v>
      </c>
      <c r="R17" s="19">
        <v>4</v>
      </c>
      <c r="S17" s="19">
        <v>1</v>
      </c>
    </row>
    <row r="18" spans="1:19" x14ac:dyDescent="0.25">
      <c r="A18" s="16"/>
      <c r="B18" s="66"/>
      <c r="C18" s="17"/>
      <c r="D18" s="19">
        <v>4</v>
      </c>
      <c r="E18" s="19">
        <v>30</v>
      </c>
      <c r="F18" s="19">
        <v>163.77699999999999</v>
      </c>
      <c r="G18" s="19">
        <v>0.88648000000000005</v>
      </c>
      <c r="H18" s="19">
        <v>0.31733</v>
      </c>
      <c r="I18" s="19">
        <v>5.5559000000000003</v>
      </c>
      <c r="J18" s="19">
        <v>1.8163</v>
      </c>
      <c r="K18" s="19">
        <v>3431.0030000000002</v>
      </c>
      <c r="L18" s="19">
        <v>4744.1786000000002</v>
      </c>
      <c r="M18" s="19">
        <v>5</v>
      </c>
      <c r="N18" s="19">
        <v>3</v>
      </c>
      <c r="O18" s="19">
        <v>1</v>
      </c>
      <c r="P18" s="19">
        <v>1</v>
      </c>
      <c r="Q18" s="19">
        <v>1</v>
      </c>
      <c r="R18" s="19">
        <v>3</v>
      </c>
      <c r="S18" s="19">
        <v>1</v>
      </c>
    </row>
    <row r="19" spans="1:19" x14ac:dyDescent="0.25">
      <c r="A19" s="16"/>
      <c r="B19" s="66"/>
      <c r="C19" s="17"/>
      <c r="D19" s="19">
        <v>3</v>
      </c>
      <c r="E19" s="19">
        <v>25</v>
      </c>
      <c r="F19" s="19">
        <v>161.45330000000001</v>
      </c>
      <c r="G19" s="19">
        <v>0.88585999999999998</v>
      </c>
      <c r="H19" s="19">
        <v>0.31874000000000002</v>
      </c>
      <c r="I19" s="19">
        <v>5.5163000000000002</v>
      </c>
      <c r="J19" s="19">
        <v>1.8111999999999999</v>
      </c>
      <c r="K19" s="19">
        <v>3433.9027999999998</v>
      </c>
      <c r="L19" s="19">
        <v>4769.2852000000003</v>
      </c>
      <c r="M19" s="19">
        <v>5</v>
      </c>
      <c r="N19" s="19">
        <v>3</v>
      </c>
      <c r="O19" s="19">
        <v>1</v>
      </c>
      <c r="P19" s="19">
        <v>1</v>
      </c>
      <c r="Q19" s="19">
        <v>1</v>
      </c>
      <c r="R19" s="19">
        <v>3</v>
      </c>
      <c r="S19" s="19">
        <v>1</v>
      </c>
    </row>
    <row r="20" spans="1:19" x14ac:dyDescent="0.25">
      <c r="A20" s="16"/>
      <c r="B20" s="66"/>
      <c r="C20" s="17"/>
      <c r="D20" s="19">
        <v>7</v>
      </c>
      <c r="E20" s="19">
        <v>40</v>
      </c>
      <c r="F20" s="19">
        <v>162.4923</v>
      </c>
      <c r="G20" s="19">
        <v>0.88553000000000004</v>
      </c>
      <c r="H20" s="19">
        <v>0.31813000000000002</v>
      </c>
      <c r="I20" s="19">
        <v>5.3182</v>
      </c>
      <c r="J20" s="19">
        <v>1.7689999999999999</v>
      </c>
      <c r="K20" s="19">
        <v>3458.5095999999999</v>
      </c>
      <c r="L20" s="19">
        <v>4798.0307000000003</v>
      </c>
      <c r="M20" s="19">
        <v>5</v>
      </c>
      <c r="N20" s="19">
        <v>2</v>
      </c>
      <c r="O20" s="19">
        <v>1</v>
      </c>
      <c r="P20" s="19">
        <v>1</v>
      </c>
      <c r="Q20" s="19">
        <v>2</v>
      </c>
      <c r="R20" s="19">
        <v>3</v>
      </c>
      <c r="S20" s="19">
        <v>2</v>
      </c>
    </row>
    <row r="21" spans="1:19" x14ac:dyDescent="0.25">
      <c r="A21" s="16"/>
      <c r="B21" s="66"/>
      <c r="C21" s="17"/>
      <c r="D21" s="19">
        <v>8</v>
      </c>
      <c r="E21" s="19">
        <v>60</v>
      </c>
      <c r="F21" s="19">
        <v>162.2261</v>
      </c>
      <c r="G21" s="19">
        <v>0.88698999999999995</v>
      </c>
      <c r="H21" s="19">
        <v>0.34092</v>
      </c>
      <c r="I21" s="19">
        <v>4.9481000000000002</v>
      </c>
      <c r="J21" s="19">
        <v>1.7005999999999999</v>
      </c>
      <c r="K21" s="19">
        <v>3642.4029</v>
      </c>
      <c r="L21" s="19">
        <v>5085.1437999999998</v>
      </c>
      <c r="M21" s="19">
        <v>5</v>
      </c>
      <c r="N21" s="19">
        <v>2</v>
      </c>
      <c r="O21" s="19">
        <v>1</v>
      </c>
      <c r="P21" s="19">
        <v>2</v>
      </c>
      <c r="Q21" s="19">
        <v>2</v>
      </c>
      <c r="R21" s="19">
        <v>4</v>
      </c>
      <c r="S21" s="19">
        <v>2</v>
      </c>
    </row>
    <row r="22" spans="1:19" x14ac:dyDescent="0.25">
      <c r="A22" s="16"/>
      <c r="B22" s="66"/>
      <c r="C22" s="17"/>
      <c r="D22" s="19">
        <v>9</v>
      </c>
      <c r="E22" s="19">
        <v>80</v>
      </c>
      <c r="F22" s="19">
        <v>161.78970000000001</v>
      </c>
      <c r="G22" s="19">
        <v>0.87307999999999997</v>
      </c>
      <c r="H22" s="19">
        <v>0.28686</v>
      </c>
      <c r="I22" s="19">
        <v>6.1875</v>
      </c>
      <c r="J22" s="19">
        <v>1.9767999999999999</v>
      </c>
      <c r="K22" s="19">
        <v>3118.4665</v>
      </c>
      <c r="L22" s="19">
        <v>4619.6661999999997</v>
      </c>
      <c r="M22" s="19">
        <v>5</v>
      </c>
      <c r="N22" s="19">
        <v>4</v>
      </c>
      <c r="O22" s="19">
        <v>1</v>
      </c>
      <c r="P22" s="19">
        <v>1</v>
      </c>
      <c r="Q22" s="19">
        <v>1</v>
      </c>
      <c r="R22" s="19">
        <v>3</v>
      </c>
      <c r="S22" s="19">
        <v>1</v>
      </c>
    </row>
    <row r="23" spans="1:19" ht="15.75" thickBot="1" x14ac:dyDescent="0.3">
      <c r="A23" s="16"/>
      <c r="B23" s="67"/>
      <c r="C23" s="17"/>
      <c r="D23" s="19">
        <v>10</v>
      </c>
      <c r="E23" s="19">
        <v>120</v>
      </c>
      <c r="F23" s="30">
        <v>144.34469999999999</v>
      </c>
      <c r="G23" s="30">
        <v>0.88078000000000001</v>
      </c>
      <c r="H23" s="30">
        <v>0.31985000000000002</v>
      </c>
      <c r="I23" s="30">
        <v>5.1349999999999998</v>
      </c>
      <c r="J23" s="30">
        <v>1.7618</v>
      </c>
      <c r="K23" s="30">
        <v>3471.6118000000001</v>
      </c>
      <c r="L23" s="30">
        <v>4956.0622999999996</v>
      </c>
      <c r="M23" s="19">
        <v>4</v>
      </c>
      <c r="N23" s="19">
        <v>2</v>
      </c>
      <c r="O23" s="19">
        <v>3</v>
      </c>
      <c r="P23" s="19">
        <v>3</v>
      </c>
      <c r="Q23" s="19">
        <v>4</v>
      </c>
      <c r="R23" s="19">
        <v>5</v>
      </c>
      <c r="S23" s="19">
        <v>3</v>
      </c>
    </row>
    <row r="24" spans="1:19" ht="15.75" thickBot="1" x14ac:dyDescent="0.3">
      <c r="B24" s="8"/>
      <c r="F24" s="40" t="s">
        <v>24</v>
      </c>
      <c r="G24" s="40">
        <f>AVERAGE(G14:G23)</f>
        <v>0.88228799999999996</v>
      </c>
      <c r="H24" s="43">
        <f t="shared" ref="H24:L24" si="1">AVERAGE(H14:H23)</f>
        <v>0.30906899999999998</v>
      </c>
      <c r="I24" s="43">
        <f t="shared" si="1"/>
        <v>5.6836899999999995</v>
      </c>
      <c r="J24" s="43">
        <f t="shared" si="1"/>
        <v>1.8519400000000001</v>
      </c>
      <c r="K24" s="43">
        <f t="shared" si="1"/>
        <v>3349.2079400000002</v>
      </c>
      <c r="L24" s="44">
        <f t="shared" si="1"/>
        <v>4734.9646899999998</v>
      </c>
    </row>
    <row r="26" spans="1:19" ht="15.75" thickBot="1" x14ac:dyDescent="0.3"/>
    <row r="27" spans="1:19" s="71" customFormat="1" ht="29.25" thickBot="1" x14ac:dyDescent="0.5">
      <c r="A27" s="68" t="s">
        <v>59</v>
      </c>
      <c r="B27" s="69"/>
      <c r="C27" s="70" t="s">
        <v>60</v>
      </c>
      <c r="F27" s="72"/>
    </row>
    <row r="32" spans="1:19" x14ac:dyDescent="0.25">
      <c r="D32" t="s">
        <v>23</v>
      </c>
    </row>
  </sheetData>
  <mergeCells count="8">
    <mergeCell ref="M1:S1"/>
    <mergeCell ref="B3:B12"/>
    <mergeCell ref="B14:B23"/>
    <mergeCell ref="A3:A12"/>
    <mergeCell ref="A14:A23"/>
    <mergeCell ref="C3:C12"/>
    <mergeCell ref="C14:C23"/>
    <mergeCell ref="G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#1#2</vt:lpstr>
      <vt:lpstr>#3#4</vt:lpstr>
      <vt:lpstr>#5#6</vt:lpstr>
      <vt:lpstr>#7#8</vt:lpstr>
      <vt:lpstr>#9#10</vt:lpstr>
      <vt:lpstr>#11#12</vt:lpstr>
      <vt:lpstr>#13#14</vt:lpstr>
      <vt:lpstr>#15#16</vt:lpstr>
      <vt:lpstr>#17#18</vt:lpstr>
      <vt:lpstr>#19#20</vt:lpstr>
      <vt:lpstr>#21#22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mmlab1</dc:creator>
  <cp:lastModifiedBy>mmlab1</cp:lastModifiedBy>
  <dcterms:created xsi:type="dcterms:W3CDTF">2021-02-15T16:30:21Z</dcterms:created>
  <dcterms:modified xsi:type="dcterms:W3CDTF">2021-05-25T15:28:31Z</dcterms:modified>
</cp:coreProperties>
</file>